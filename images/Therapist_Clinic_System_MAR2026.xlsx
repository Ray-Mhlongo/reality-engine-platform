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B163F664-DB8B-404C-B75C-8CFAD8699339}" xr6:coauthVersionLast="47" xr6:coauthVersionMax="47" xr10:uidLastSave="{00000000-0000-0000-0000-000000000000}"/>
  <bookViews>
    <workbookView xWindow="-120" yWindow="-120" windowWidth="29040" windowHeight="15720" activeTab="4" xr2:uid="{47EB7282-53AA-44A5-B165-B875D949F03C}"/>
  </bookViews>
  <sheets>
    <sheet name="Patients" sheetId="1" r:id="rId1"/>
    <sheet name="Visits" sheetId="2" r:id="rId2"/>
    <sheet name="Expenses" sheetId="3" r:id="rId3"/>
    <sheet name="Patient_File" sheetId="4" r:id="rId4"/>
    <sheet name="Patient_Report" sheetId="5" r:id="rId5"/>
    <sheet name="Dashboard" sheetId="6" r:id="rId6"/>
    <sheet name="Sheet7" sheetId="7" r:id="rId7"/>
  </sheets>
  <definedNames>
    <definedName name="PatientNames">PatientsTable[Full_Name]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3" l="1"/>
  <c r="B4" i="6" s="1"/>
  <c r="G9" i="3"/>
  <c r="B3" i="6" s="1"/>
  <c r="G8" i="3"/>
  <c r="G7" i="3"/>
  <c r="G6" i="3"/>
  <c r="G5" i="3"/>
  <c r="G4" i="3"/>
  <c r="G3" i="3"/>
  <c r="B1" i="5"/>
  <c r="I6" i="1"/>
  <c r="I7" i="1"/>
  <c r="I5" i="1"/>
  <c r="I8" i="1"/>
  <c r="I9" i="1"/>
  <c r="G12" i="3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G11" i="3" l="1"/>
  <c r="A13" i="4" a="1"/>
  <c r="B2" i="6"/>
  <c r="B7" i="4"/>
  <c r="B8" i="5"/>
  <c r="B10" i="4"/>
  <c r="B4" i="5"/>
  <c r="B3" i="4"/>
  <c r="B5" i="5"/>
  <c r="B9" i="5"/>
  <c r="B4" i="4"/>
  <c r="B8" i="4"/>
  <c r="B6" i="5"/>
  <c r="B10" i="5"/>
  <c r="B5" i="4"/>
  <c r="B9" i="4"/>
  <c r="B3" i="5"/>
  <c r="B7" i="5"/>
  <c r="A13" i="5" a="1"/>
  <c r="B6" i="4"/>
  <c r="A13" i="4" l="1"/>
  <c r="A13" i="5"/>
  <c r="B5" i="6"/>
  <c r="G1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<sst xmlns="http://schemas.openxmlformats.org/spreadsheetml/2006/main" count="483" uniqueCount="261">
  <si>
    <t>Patient_ID</t>
  </si>
  <si>
    <t>Full_Name</t>
  </si>
  <si>
    <t>First_Name</t>
  </si>
  <si>
    <t>Last_Name</t>
  </si>
  <si>
    <t>ID_Number</t>
  </si>
  <si>
    <t>Phone</t>
  </si>
  <si>
    <t>Email</t>
  </si>
  <si>
    <t>Address</t>
  </si>
  <si>
    <t>Date_Registered</t>
  </si>
  <si>
    <t>Visit_ID</t>
  </si>
  <si>
    <t>Date</t>
  </si>
  <si>
    <t>Notes</t>
  </si>
  <si>
    <t>Amount</t>
  </si>
  <si>
    <t>Payment_Status</t>
  </si>
  <si>
    <t>Select Patient:</t>
  </si>
  <si>
    <t>Patient ID</t>
  </si>
  <si>
    <t>First Name</t>
  </si>
  <si>
    <t>Last Name</t>
  </si>
  <si>
    <t>ID Number</t>
  </si>
  <si>
    <t>Date Registered</t>
  </si>
  <si>
    <t>Payment Status</t>
  </si>
  <si>
    <t>Category</t>
  </si>
  <si>
    <t>Ingredients</t>
  </si>
  <si>
    <t>Bought online</t>
  </si>
  <si>
    <t>Transport</t>
  </si>
  <si>
    <t>Car fuel</t>
  </si>
  <si>
    <t>Local store</t>
  </si>
  <si>
    <t>Other</t>
  </si>
  <si>
    <t>Supplies</t>
  </si>
  <si>
    <t>Total</t>
  </si>
  <si>
    <t>Total Expenses</t>
  </si>
  <si>
    <t>Total Revenue</t>
  </si>
  <si>
    <t>Profit</t>
  </si>
  <si>
    <t>P001</t>
  </si>
  <si>
    <t>Kelly</t>
  </si>
  <si>
    <t>Smith</t>
  </si>
  <si>
    <t>kelly@mail.com</t>
  </si>
  <si>
    <t>Pretoria</t>
  </si>
  <si>
    <t>P002</t>
  </si>
  <si>
    <t>John</t>
  </si>
  <si>
    <t>Doe</t>
  </si>
  <si>
    <t>john@mail.com</t>
  </si>
  <si>
    <t>Johannesburg</t>
  </si>
  <si>
    <t>P003</t>
  </si>
  <si>
    <t>Mary</t>
  </si>
  <si>
    <t>Johnson</t>
  </si>
  <si>
    <t>mary@mail.com</t>
  </si>
  <si>
    <t>Cape Town</t>
  </si>
  <si>
    <t>Paid</t>
  </si>
  <si>
    <t>Initial consult</t>
  </si>
  <si>
    <t>Unpaid</t>
  </si>
  <si>
    <t>Bit Late</t>
  </si>
  <si>
    <t>Shy</t>
  </si>
  <si>
    <t>Interesting</t>
  </si>
  <si>
    <t>Dangerous</t>
  </si>
  <si>
    <t>P004</t>
  </si>
  <si>
    <t>Thabo</t>
  </si>
  <si>
    <t>Mokoena</t>
  </si>
  <si>
    <t>thabo@mail.com</t>
  </si>
  <si>
    <t>Centurion</t>
  </si>
  <si>
    <t>07/02/2026</t>
  </si>
  <si>
    <t>P005</t>
  </si>
  <si>
    <t>Ayesha</t>
  </si>
  <si>
    <t>Khan</t>
  </si>
  <si>
    <t>ayesha@mail.com</t>
  </si>
  <si>
    <t>Sandton</t>
  </si>
  <si>
    <t>09/02/2026</t>
  </si>
  <si>
    <t>P006</t>
  </si>
  <si>
    <t>Sipho</t>
  </si>
  <si>
    <t>Nkosi</t>
  </si>
  <si>
    <t>sipho@mail.com</t>
  </si>
  <si>
    <t>Midrand</t>
  </si>
  <si>
    <t>11/02/2026</t>
  </si>
  <si>
    <t>P007</t>
  </si>
  <si>
    <t>Lerato</t>
  </si>
  <si>
    <t>Molefe</t>
  </si>
  <si>
    <t>lerato@mail.com</t>
  </si>
  <si>
    <t>Pretoria East</t>
  </si>
  <si>
    <t>14/02/2026</t>
  </si>
  <si>
    <t>P008</t>
  </si>
  <si>
    <t>Daniel</t>
  </si>
  <si>
    <t>Jacobs</t>
  </si>
  <si>
    <t>daniel@mail.com</t>
  </si>
  <si>
    <t>18/02/2026</t>
  </si>
  <si>
    <t>0821234567</t>
  </si>
  <si>
    <t>0837654321</t>
  </si>
  <si>
    <t>0841112233</t>
  </si>
  <si>
    <t>0845567788</t>
  </si>
  <si>
    <t>0793344556</t>
  </si>
  <si>
    <t>0829988776</t>
  </si>
  <si>
    <t>0831122334</t>
  </si>
  <si>
    <t>0816677889</t>
  </si>
  <si>
    <t>P009</t>
  </si>
  <si>
    <t>Kabelo</t>
  </si>
  <si>
    <t>Ndlovu</t>
  </si>
  <si>
    <t>kabelo@mail.com</t>
  </si>
  <si>
    <t>20/02/2026</t>
  </si>
  <si>
    <t>P010</t>
  </si>
  <si>
    <t>Bianca</t>
  </si>
  <si>
    <t>Adams</t>
  </si>
  <si>
    <t>bianca@mail.com</t>
  </si>
  <si>
    <t>Joburg</t>
  </si>
  <si>
    <t>21/02/2026</t>
  </si>
  <si>
    <t>P011</t>
  </si>
  <si>
    <t>Mpho</t>
  </si>
  <si>
    <t>Sithole</t>
  </si>
  <si>
    <t>mpho@mail.com</t>
  </si>
  <si>
    <t>22/02/2026</t>
  </si>
  <si>
    <t>P012</t>
  </si>
  <si>
    <t>Jason</t>
  </si>
  <si>
    <t>Petersen</t>
  </si>
  <si>
    <t>jason@mail.com</t>
  </si>
  <si>
    <t>23/02/2026</t>
  </si>
  <si>
    <t>P013</t>
  </si>
  <si>
    <t>Zanele</t>
  </si>
  <si>
    <t>Khumalo</t>
  </si>
  <si>
    <t>zanele@mail.com</t>
  </si>
  <si>
    <t>Durban</t>
  </si>
  <si>
    <t>24/02/2026</t>
  </si>
  <si>
    <t>P014</t>
  </si>
  <si>
    <t>Ryan</t>
  </si>
  <si>
    <t>Daniels</t>
  </si>
  <si>
    <t>ryan@mail.com</t>
  </si>
  <si>
    <t>25/02/2026</t>
  </si>
  <si>
    <t>P015</t>
  </si>
  <si>
    <t>Fatima</t>
  </si>
  <si>
    <t>Ismail</t>
  </si>
  <si>
    <t>fatima@mail.com</t>
  </si>
  <si>
    <t>26/02/2026</t>
  </si>
  <si>
    <t>P016</t>
  </si>
  <si>
    <t>Sibusiso</t>
  </si>
  <si>
    <t>Mthembu</t>
  </si>
  <si>
    <t>sibu@mail.com</t>
  </si>
  <si>
    <t>27/02/2026</t>
  </si>
  <si>
    <t>P017</t>
  </si>
  <si>
    <t>Nicole</t>
  </si>
  <si>
    <t>Williams</t>
  </si>
  <si>
    <t>nicole@mail.com</t>
  </si>
  <si>
    <t>28/02/2026</t>
  </si>
  <si>
    <t>P018</t>
  </si>
  <si>
    <t>Andile</t>
  </si>
  <si>
    <t>Zulu</t>
  </si>
  <si>
    <t>andile@mail.com</t>
  </si>
  <si>
    <t>01/03/2026</t>
  </si>
  <si>
    <t>P019</t>
  </si>
  <si>
    <t>Carla</t>
  </si>
  <si>
    <t>Ferreira</t>
  </si>
  <si>
    <t>carla@mail.com</t>
  </si>
  <si>
    <t>02/03/2026</t>
  </si>
  <si>
    <t>P020</t>
  </si>
  <si>
    <t>Themba</t>
  </si>
  <si>
    <t>Dlamini</t>
  </si>
  <si>
    <t>themba@mail.com</t>
  </si>
  <si>
    <t>03/03/2026</t>
  </si>
  <si>
    <t>0781122334</t>
  </si>
  <si>
    <t>0824455667</t>
  </si>
  <si>
    <t>0847788990</t>
  </si>
  <si>
    <t>0795566778</t>
  </si>
  <si>
    <t>0839988776</t>
  </si>
  <si>
    <t>0812233445</t>
  </si>
  <si>
    <t>0826677889</t>
  </si>
  <si>
    <t>0843344556</t>
  </si>
  <si>
    <t>0789988776</t>
  </si>
  <si>
    <t>0725566778</t>
  </si>
  <si>
    <t>0832233445</t>
  </si>
  <si>
    <t>05/02/2026</t>
  </si>
  <si>
    <t>First session</t>
  </si>
  <si>
    <t>12/02/2026</t>
  </si>
  <si>
    <t>Anxiety review</t>
  </si>
  <si>
    <t>19/02/2026</t>
  </si>
  <si>
    <t>Progress check</t>
  </si>
  <si>
    <t>06/02/2026</t>
  </si>
  <si>
    <t>Stress session</t>
  </si>
  <si>
    <t>08/02/2026</t>
  </si>
  <si>
    <t>Nutrition discussion</t>
  </si>
  <si>
    <t>15/02/2026</t>
  </si>
  <si>
    <t>Diet adjustment</t>
  </si>
  <si>
    <t>Trauma session</t>
  </si>
  <si>
    <t>16/02/2026</t>
  </si>
  <si>
    <t>Emotional support</t>
  </si>
  <si>
    <t>10/02/2026</t>
  </si>
  <si>
    <t>Initial session</t>
  </si>
  <si>
    <t>17/02/2026</t>
  </si>
  <si>
    <t>Family discussion</t>
  </si>
  <si>
    <t>Anger management</t>
  </si>
  <si>
    <t>Coping tools</t>
  </si>
  <si>
    <t>13/02/2026</t>
  </si>
  <si>
    <t>Grief counselling</t>
  </si>
  <si>
    <t>Emotional check</t>
  </si>
  <si>
    <t>Mental health review</t>
  </si>
  <si>
    <t>Anxiety</t>
  </si>
  <si>
    <t>Stress</t>
  </si>
  <si>
    <t>Burnout</t>
  </si>
  <si>
    <t>Relationship issues</t>
  </si>
  <si>
    <t>Depression</t>
  </si>
  <si>
    <t>04/03/2026</t>
  </si>
  <si>
    <t>Trauma</t>
  </si>
  <si>
    <t>05/03/2026</t>
  </si>
  <si>
    <t>Family conflict</t>
  </si>
  <si>
    <t>06/03/2026</t>
  </si>
  <si>
    <t>V001</t>
  </si>
  <si>
    <t>V002</t>
  </si>
  <si>
    <t>V003</t>
  </si>
  <si>
    <t>V004</t>
  </si>
  <si>
    <t>V005</t>
  </si>
  <si>
    <t>V006</t>
  </si>
  <si>
    <t>V007</t>
  </si>
  <si>
    <t>V008</t>
  </si>
  <si>
    <t>V009</t>
  </si>
  <si>
    <t>V010</t>
  </si>
  <si>
    <t>V011</t>
  </si>
  <si>
    <t>V012</t>
  </si>
  <si>
    <t>V013</t>
  </si>
  <si>
    <t>V014</t>
  </si>
  <si>
    <t>V015</t>
  </si>
  <si>
    <t>V016</t>
  </si>
  <si>
    <t>V017</t>
  </si>
  <si>
    <t>V018</t>
  </si>
  <si>
    <t>V019</t>
  </si>
  <si>
    <t>V020</t>
  </si>
  <si>
    <t>V021</t>
  </si>
  <si>
    <t>V022</t>
  </si>
  <si>
    <t>V023</t>
  </si>
  <si>
    <t>V024</t>
  </si>
  <si>
    <t>V025</t>
  </si>
  <si>
    <t>V026</t>
  </si>
  <si>
    <t>V027</t>
  </si>
  <si>
    <t>V028</t>
  </si>
  <si>
    <t>V029</t>
  </si>
  <si>
    <t>V030</t>
  </si>
  <si>
    <t>V031</t>
  </si>
  <si>
    <t>V032</t>
  </si>
  <si>
    <t>V033</t>
  </si>
  <si>
    <t>Session_Mode</t>
  </si>
  <si>
    <t>In-Person</t>
  </si>
  <si>
    <t>Online</t>
  </si>
  <si>
    <t>Session_Category</t>
  </si>
  <si>
    <t>In-person</t>
  </si>
  <si>
    <t>Individual</t>
  </si>
  <si>
    <t>Couple</t>
  </si>
  <si>
    <t>Group</t>
  </si>
  <si>
    <t>Utilities</t>
  </si>
  <si>
    <t>Equipment</t>
  </si>
  <si>
    <t>Service</t>
  </si>
  <si>
    <t>Bereavement</t>
  </si>
  <si>
    <t>Infidelity</t>
  </si>
  <si>
    <t>Pre-Marital Counselling</t>
  </si>
  <si>
    <t>Mediation</t>
  </si>
  <si>
    <t>Separation</t>
  </si>
  <si>
    <t>Coping Skills</t>
  </si>
  <si>
    <t>Couple Differences</t>
  </si>
  <si>
    <t>Trauma Debriefing</t>
  </si>
  <si>
    <t>Divorce</t>
  </si>
  <si>
    <t>GNOSIS THERAPY AND WELLNESS SERVICE</t>
  </si>
  <si>
    <t>Travel</t>
  </si>
  <si>
    <t>Software</t>
  </si>
  <si>
    <t>Subscription</t>
  </si>
  <si>
    <t>Repairs</t>
  </si>
  <si>
    <t>Maintanance</t>
  </si>
  <si>
    <t>Miscellaneous</t>
  </si>
  <si>
    <t>Kelly 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</si>
</sst>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&quot;* #,##0.00_-;\-&quot;R&quot;* #,##0.00_-;_-&quot;R&quot;* &quot;-&quot;??_-;_-@_-"/>
    <numFmt numFmtId="164" formatCode="yyyy/mm/dd;@"/>
    <numFmt numFmtId="165" formatCode="&quot;R&quot;#,##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4" fontId="6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wrapText="1"/>
    </xf>
    <xf numFmtId="0" fontId="0" fillId="0" borderId="5" xfId="0" applyBorder="1"/>
    <xf numFmtId="164" fontId="0" fillId="0" borderId="0" xfId="0" applyNumberFormat="1" applyAlignment="1">
      <alignment horizontal="left"/>
    </xf>
    <xf numFmtId="0" fontId="1" fillId="3" borderId="0" xfId="0" applyFont="1" applyFill="1"/>
    <xf numFmtId="0" fontId="0" fillId="4" borderId="1" xfId="0" applyFill="1" applyBorder="1" applyAlignment="1">
      <alignment wrapText="1"/>
    </xf>
    <xf numFmtId="0" fontId="0" fillId="2" borderId="0" xfId="0" applyFill="1"/>
    <xf numFmtId="0" fontId="4" fillId="2" borderId="0" xfId="0" applyFont="1" applyFill="1"/>
    <xf numFmtId="49" fontId="0" fillId="0" borderId="0" xfId="0" applyNumberFormat="1" applyAlignment="1">
      <alignment horizontal="left"/>
    </xf>
    <xf numFmtId="0" fontId="1" fillId="0" borderId="1" xfId="0" applyFont="1" applyBorder="1" applyAlignment="1">
      <alignment wrapText="1"/>
    </xf>
    <xf numFmtId="0" fontId="1" fillId="0" borderId="2" xfId="0" applyFont="1" applyBorder="1"/>
    <xf numFmtId="0" fontId="1" fillId="0" borderId="3" xfId="0" applyFont="1" applyBorder="1"/>
    <xf numFmtId="164" fontId="1" fillId="0" borderId="3" xfId="0" applyNumberFormat="1" applyFont="1" applyBorder="1" applyAlignment="1">
      <alignment horizontal="left"/>
    </xf>
    <xf numFmtId="0" fontId="1" fillId="0" borderId="4" xfId="0" applyFont="1" applyBorder="1"/>
    <xf numFmtId="0" fontId="1" fillId="0" borderId="0" xfId="0" applyFont="1"/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horizontal="left" vertical="center" wrapText="1"/>
    </xf>
    <xf numFmtId="0" fontId="1" fillId="0" borderId="6" xfId="0" applyFont="1" applyBorder="1"/>
    <xf numFmtId="164" fontId="1" fillId="0" borderId="0" xfId="0" applyNumberFormat="1" applyFont="1" applyAlignment="1">
      <alignment horizontal="left"/>
    </xf>
    <xf numFmtId="0" fontId="1" fillId="0" borderId="5" xfId="0" applyFont="1" applyBorder="1"/>
    <xf numFmtId="14" fontId="1" fillId="0" borderId="0" xfId="0" applyNumberFormat="1" applyFont="1"/>
    <xf numFmtId="0" fontId="1" fillId="6" borderId="1" xfId="0" applyFont="1" applyFill="1" applyBorder="1"/>
    <xf numFmtId="0" fontId="1" fillId="5" borderId="1" xfId="0" applyFont="1" applyFill="1" applyBorder="1"/>
    <xf numFmtId="0" fontId="1" fillId="5" borderId="1" xfId="0" applyFont="1" applyFill="1" applyBorder="1" applyAlignment="1">
      <alignment horizontal="left"/>
    </xf>
    <xf numFmtId="14" fontId="1" fillId="5" borderId="1" xfId="0" applyNumberFormat="1" applyFont="1" applyFill="1" applyBorder="1" applyAlignment="1">
      <alignment horizontal="left"/>
    </xf>
    <xf numFmtId="0" fontId="1" fillId="6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left" wrapText="1"/>
    </xf>
    <xf numFmtId="14" fontId="1" fillId="5" borderId="1" xfId="0" applyNumberFormat="1" applyFont="1" applyFill="1" applyBorder="1" applyAlignment="1">
      <alignment horizontal="left" wrapText="1"/>
    </xf>
    <xf numFmtId="49" fontId="1" fillId="0" borderId="0" xfId="0" applyNumberFormat="1" applyFont="1" applyAlignment="1">
      <alignment horizontal="left" vertical="center" wrapText="1"/>
    </xf>
    <xf numFmtId="0" fontId="7" fillId="0" borderId="0" xfId="1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left"/>
    </xf>
    <xf numFmtId="164" fontId="1" fillId="0" borderId="1" xfId="0" applyNumberFormat="1" applyFont="1" applyBorder="1" applyAlignment="1">
      <alignment wrapText="1"/>
    </xf>
    <xf numFmtId="0" fontId="1" fillId="5" borderId="0" xfId="0" applyFont="1" applyFill="1"/>
    <xf numFmtId="164" fontId="1" fillId="4" borderId="1" xfId="0" applyNumberFormat="1" applyFont="1" applyFill="1" applyBorder="1" applyAlignment="1">
      <alignment horizontal="left" wrapText="1"/>
    </xf>
    <xf numFmtId="0" fontId="1" fillId="4" borderId="1" xfId="0" applyFont="1" applyFill="1" applyBorder="1" applyAlignment="1">
      <alignment wrapText="1"/>
    </xf>
    <xf numFmtId="164" fontId="1" fillId="0" borderId="1" xfId="0" applyNumberFormat="1" applyFont="1" applyBorder="1" applyAlignment="1">
      <alignment horizontal="left" wrapText="1"/>
    </xf>
    <xf numFmtId="165" fontId="1" fillId="0" borderId="0" xfId="0" applyNumberFormat="1" applyFont="1"/>
    <xf numFmtId="0" fontId="1" fillId="4" borderId="0" xfId="0" applyFont="1" applyFill="1"/>
    <xf numFmtId="165" fontId="1" fillId="4" borderId="0" xfId="0" applyNumberFormat="1" applyFont="1" applyFill="1"/>
    <xf numFmtId="0" fontId="1" fillId="7" borderId="0" xfId="0" applyFont="1" applyFill="1"/>
    <xf numFmtId="165" fontId="1" fillId="7" borderId="0" xfId="0" applyNumberFormat="1" applyFont="1" applyFill="1"/>
    <xf numFmtId="0" fontId="1" fillId="8" borderId="0" xfId="0" applyFont="1" applyFill="1"/>
    <xf numFmtId="165" fontId="1" fillId="8" borderId="0" xfId="0" applyNumberFormat="1" applyFont="1" applyFill="1"/>
    <xf numFmtId="165" fontId="1" fillId="0" borderId="1" xfId="2" applyNumberFormat="1" applyFont="1" applyBorder="1" applyAlignment="1">
      <alignment wrapText="1"/>
    </xf>
    <xf numFmtId="165" fontId="1" fillId="0" borderId="0" xfId="2" applyNumberFormat="1" applyFont="1" applyAlignment="1">
      <alignment vertical="center" wrapText="1"/>
    </xf>
    <xf numFmtId="165" fontId="1" fillId="0" borderId="0" xfId="2" applyNumberFormat="1" applyFont="1"/>
    <xf numFmtId="0" fontId="5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14" fontId="1" fillId="0" borderId="1" xfId="0" applyNumberFormat="1" applyFont="1" applyBorder="1" applyAlignment="1">
      <alignment wrapText="1"/>
    </xf>
  </cellXfs>
  <cellStyles count="3">
    <cellStyle name="Currency" xfId="2" builtinId="4"/>
    <cellStyle name="Hyperlink" xfId="1" builtinId="8"/>
    <cellStyle name="Normal" xfId="0" builtinId="0"/>
  </cellStyles>
  <dxfs count="30"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</font>
      <numFmt numFmtId="165" formatCode="&quot;R&quot;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165" formatCode="&quot;R&quot;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yyyy/mm/dd;@"/>
      <alignment horizontal="left" vertical="center" textRotation="0" wrapText="1" indent="0" justifyLastLine="0" shrinkToFit="0" readingOrder="0"/>
    </dxf>
    <dxf>
      <numFmt numFmtId="164" formatCode="yyyy/mm/dd;@"/>
      <alignment horizontal="left" vertical="center" textRotation="0" wrapText="1" indent="0" justifyLastLine="0" shrinkToFit="0" readingOrder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  <numFmt numFmtId="164" formatCode="yyyy/mm/dd;@"/>
      <alignment horizontal="left" textRotation="0" indent="0" justifyLastLine="0" shrinkToFit="0" readingOrder="0"/>
    </dxf>
    <dxf>
      <font>
        <b/>
      </font>
    </dxf>
    <dxf>
      <font>
        <b/>
      </font>
    </dxf>
    <dxf>
      <font>
        <b/>
      </font>
      <numFmt numFmtId="30" formatCode="@"/>
      <alignment horizontal="left" textRotation="0" indent="0" justifyLastLine="0" shrinkToFit="0" readingOrder="0"/>
    </dxf>
    <dxf>
      <font>
        <b/>
      </font>
      <numFmt numFmtId="30" formatCode="@"/>
      <alignment horizontal="left" textRotation="0" indent="0" justifyLastLine="0" shrinkToFit="0" readingOrder="0"/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Dashboard!$A$2:$A$5</c:f>
              <c:strCache>
                <c:ptCount val="4"/>
                <c:pt idx="0">
                  <c:v>Ingredients</c:v>
                </c:pt>
                <c:pt idx="1">
                  <c:v>Transport</c:v>
                </c:pt>
                <c:pt idx="2">
                  <c:v>Other</c:v>
                </c:pt>
                <c:pt idx="3">
                  <c:v>Total</c:v>
                </c:pt>
              </c:strCache>
            </c:strRef>
          </c:cat>
          <c:val>
            <c:numRef>
              <c:f>Dashboard!$B$2:$B$5</c:f>
              <c:numCache>
                <c:formatCode>General</c:formatCode>
                <c:ptCount val="4"/>
                <c:pt idx="0">
                  <c:v>200</c:v>
                </c:pt>
                <c:pt idx="1">
                  <c:v>150</c:v>
                </c:pt>
                <c:pt idx="2">
                  <c:v>350</c:v>
                </c:pt>
                <c:pt idx="3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37-486C-AED0-46D4661E91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3543024"/>
        <c:axId val="843541584"/>
      </c:barChart>
      <c:catAx>
        <c:axId val="84354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541584"/>
        <c:crosses val="autoZero"/>
        <c:auto val="1"/>
        <c:lblAlgn val="ctr"/>
        <c:lblOffset val="100"/>
        <c:noMultiLvlLbl val="0"/>
      </c:catAx>
      <c:valAx>
        <c:axId val="84354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543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0</xdr:row>
      <xdr:rowOff>4762</xdr:rowOff>
    </xdr:from>
    <xdr:to>
      <xdr:col>10</xdr:col>
      <xdr:colOff>285750</xdr:colOff>
      <xdr:row>14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521DEE-D69A-8C3C-CD99-86DF3B412D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3CE8CB-F744-46E5-BB85-9361E24E8603}" name="PatientsTable" displayName="PatientsTable" ref="A4:I203" totalsRowShown="0" dataDxfId="29">
  <autoFilter ref="A4:I203" xr:uid="{AA3CE8CB-F744-46E5-BB85-9361E24E8603}"/>
  <tableColumns count="9">
    <tableColumn id="1" xr3:uid="{E471681E-DECD-43D5-889F-9EFAC16A9BED}" name="Patient_ID" dataDxfId="28"/>
    <tableColumn id="2" xr3:uid="{1AB9E643-4EDB-4C9D-AEDD-B3B1BA0E67EB}" name="First_Name" dataDxfId="27"/>
    <tableColumn id="3" xr3:uid="{CC13C367-0182-412C-BD8C-31D2EBA7F247}" name="Last_Name" dataDxfId="26"/>
    <tableColumn id="4" xr3:uid="{5F969C77-3408-4042-ADC9-4D2C3E7A9F75}" name="ID_Number" dataDxfId="25"/>
    <tableColumn id="5" xr3:uid="{6CFF8D95-155A-4A77-BF01-EF282034ADA9}" name="Phone" dataDxfId="24"/>
    <tableColumn id="6" xr3:uid="{6E821049-E31B-48C8-954D-4115717CC0A3}" name="Email" dataDxfId="23"/>
    <tableColumn id="7" xr3:uid="{61880C71-6F81-4CB9-B52F-0DC832A24128}" name="Address" dataDxfId="22"/>
    <tableColumn id="8" xr3:uid="{C5677643-5AAF-4336-AED4-55DFDF3F8CE4}" name="Date_Registered" dataDxfId="21"/>
    <tableColumn id="9" xr3:uid="{9F6FE824-41C4-4262-94F0-AB31368F51AB}" name="Full_Name" dataDxfId="20">
      <calculatedColumnFormula>B5 &amp; " " &amp; C5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FDBB7C-4BE8-4CDF-8293-E60FB8742B4D}" name="VisitsTable" displayName="VisitsTable" ref="A1:I36" totalsRowShown="0" headerRowDxfId="19" dataDxfId="17" headerRowBorderDxfId="18" tableBorderDxfId="16" totalsRowBorderDxfId="15">
  <autoFilter ref="A1:I36" xr:uid="{EAFDBB7C-4BE8-4CDF-8293-E60FB8742B4D}">
    <filterColumn colId="0">
      <customFilters>
        <customFilter operator="notEqual" val=" "/>
      </customFilters>
    </filterColumn>
  </autoFilter>
  <tableColumns count="9">
    <tableColumn id="1" xr3:uid="{ABF6FC54-3C2F-4603-8E13-2322EC7B06EE}" name="Visit_ID"/>
    <tableColumn id="2" xr3:uid="{CBFAD761-C70E-4869-8660-745D27A04C90}" name="Patient_ID"/>
    <tableColumn id="3" xr3:uid="{408B66D1-F8AF-4163-823B-673BE0F12B62}" name="Date"/>
    <tableColumn id="8" xr3:uid="{526F80DA-0DC2-447C-85DF-1D217117A3DE}" name="Session_Mode" dataDxfId="14"/>
    <tableColumn id="9" xr3:uid="{35D888C4-3D8D-4E3D-983C-953288324DDB}" name="Session_Category" dataDxfId="13"/>
    <tableColumn id="4" xr3:uid="{9EF19450-4CA9-4245-97EF-6900DFD5D765}" name="Service"/>
    <tableColumn id="5" xr3:uid="{7EB519A2-C858-43DB-9891-540071A68ABD}" name="Notes"/>
    <tableColumn id="6" xr3:uid="{F82BA0C5-F7D0-49C1-8DF6-C5AE8CEBAF6C}" name="Amount"/>
    <tableColumn id="7" xr3:uid="{9589D742-EBE8-42AD-B2C9-CD7A40364DF4}" name="Payment_Status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5AD8AC-BBDB-440D-9FE2-E17DD6984F33}" name="ExpensesTable" displayName="ExpensesTable" ref="A1:D6" totalsRowShown="0" headerRowDxfId="11" dataDxfId="10">
  <autoFilter ref="A1:D6" xr:uid="{635AD8AC-BBDB-440D-9FE2-E17DD6984F33}"/>
  <tableColumns count="4">
    <tableColumn id="1" xr3:uid="{82A614F4-46EC-4C5E-AFB7-C9A5EC3C2CF6}" name="Date" dataDxfId="9"/>
    <tableColumn id="2" xr3:uid="{3A12BF94-66BB-4118-96FE-7BD67B5AFD75}" name="Category" dataDxfId="8"/>
    <tableColumn id="4" xr3:uid="{C41898D6-1376-4A11-8807-445F71A14871}" name="Amount" dataDxfId="7"/>
    <tableColumn id="5" xr3:uid="{4672227F-5F7E-4744-8DC1-D4ADCD605979}" name="Notes" dataDxfId="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5156A02-D43C-4E14-B60D-5CD5AEF86626}" name="Table5" displayName="Table5" ref="F2:G13" totalsRowShown="0" headerRowDxfId="5" dataDxfId="4">
  <autoFilter ref="F2:G13" xr:uid="{C5156A02-D43C-4E14-B60D-5CD5AEF86626}"/>
  <tableColumns count="2">
    <tableColumn id="1" xr3:uid="{209C96D0-3E3A-40B2-89DF-6B05B6942A4D}" name="Category" dataDxfId="3"/>
    <tableColumn id="2" xr3:uid="{00BB1C65-5646-452A-AB4D-BE49012C1B55}" name="Total" dataDxfId="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2CE3AB5-B2B0-42F6-9AF4-6BA8545B538A}" name="Table6" displayName="Table6" ref="A1:B5" totalsRowShown="0">
  <autoFilter ref="A1:B5" xr:uid="{92CE3AB5-B2B0-42F6-9AF4-6BA8545B538A}"/>
  <tableColumns count="2">
    <tableColumn id="1" xr3:uid="{20AD1E8B-8E72-491E-AB65-DBBB07469E7C}" name="Category"/>
    <tableColumn id="2" xr3:uid="{D0B15DB8-0075-48BC-A47C-F5ADBEC7975C}" name="Total">
      <calculatedColumnFormula>Expenses!G3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aniel@mail.com" TargetMode="External"/><Relationship Id="rId13" Type="http://schemas.openxmlformats.org/officeDocument/2006/relationships/hyperlink" Target="mailto:zanele@mail.com" TargetMode="External"/><Relationship Id="rId18" Type="http://schemas.openxmlformats.org/officeDocument/2006/relationships/hyperlink" Target="mailto:andile@mail.com" TargetMode="External"/><Relationship Id="rId3" Type="http://schemas.openxmlformats.org/officeDocument/2006/relationships/hyperlink" Target="mailto:mary@mail.com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mailto:lerato@mail.com" TargetMode="External"/><Relationship Id="rId12" Type="http://schemas.openxmlformats.org/officeDocument/2006/relationships/hyperlink" Target="mailto:jason@mail.com" TargetMode="External"/><Relationship Id="rId17" Type="http://schemas.openxmlformats.org/officeDocument/2006/relationships/hyperlink" Target="mailto:nicole@mail.com" TargetMode="External"/><Relationship Id="rId2" Type="http://schemas.openxmlformats.org/officeDocument/2006/relationships/hyperlink" Target="mailto:john@mail.com" TargetMode="External"/><Relationship Id="rId16" Type="http://schemas.openxmlformats.org/officeDocument/2006/relationships/hyperlink" Target="mailto:sibu@mail.com" TargetMode="External"/><Relationship Id="rId20" Type="http://schemas.openxmlformats.org/officeDocument/2006/relationships/hyperlink" Target="mailto:themba@mail.com" TargetMode="External"/><Relationship Id="rId1" Type="http://schemas.openxmlformats.org/officeDocument/2006/relationships/hyperlink" Target="mailto:kelly@mail.com" TargetMode="External"/><Relationship Id="rId6" Type="http://schemas.openxmlformats.org/officeDocument/2006/relationships/hyperlink" Target="mailto:sipho@mail.com" TargetMode="External"/><Relationship Id="rId11" Type="http://schemas.openxmlformats.org/officeDocument/2006/relationships/hyperlink" Target="mailto:mpho@mail.com" TargetMode="External"/><Relationship Id="rId5" Type="http://schemas.openxmlformats.org/officeDocument/2006/relationships/hyperlink" Target="mailto:ayesha@mail.com" TargetMode="External"/><Relationship Id="rId15" Type="http://schemas.openxmlformats.org/officeDocument/2006/relationships/hyperlink" Target="mailto:fatima@mail.com" TargetMode="External"/><Relationship Id="rId10" Type="http://schemas.openxmlformats.org/officeDocument/2006/relationships/hyperlink" Target="mailto:bianca@mail.com" TargetMode="External"/><Relationship Id="rId19" Type="http://schemas.openxmlformats.org/officeDocument/2006/relationships/hyperlink" Target="mailto:carla@mail.com" TargetMode="External"/><Relationship Id="rId4" Type="http://schemas.openxmlformats.org/officeDocument/2006/relationships/hyperlink" Target="mailto:thabo@mail.com" TargetMode="External"/><Relationship Id="rId9" Type="http://schemas.openxmlformats.org/officeDocument/2006/relationships/hyperlink" Target="mailto:kabelo@mail.com" TargetMode="External"/><Relationship Id="rId14" Type="http://schemas.openxmlformats.org/officeDocument/2006/relationships/hyperlink" Target="mailto:ryan@mail.com" TargetMode="External"/><Relationship Id="rId22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0FEDF-A8F4-48CD-AD88-92225D23DBB5}">
  <dimension ref="A1:I203"/>
  <sheetViews>
    <sheetView zoomScale="160" zoomScaleNormal="160" workbookViewId="0">
      <pane ySplit="4" topLeftCell="A5" activePane="bottomLeft" state="frozen"/>
      <selection activeCell="C1" sqref="C1"/>
      <selection pane="bottomLeft" activeCell="E17" sqref="E17"/>
    </sheetView>
  </sheetViews>
  <sheetFormatPr defaultRowHeight="15" x14ac:dyDescent="0.25"/>
  <cols>
    <col min="1" max="1" width="12.28515625" customWidth="1"/>
    <col min="2" max="2" width="25.7109375" customWidth="1"/>
    <col min="3" max="3" width="21" customWidth="1"/>
    <col min="4" max="4" width="21.42578125" style="8" customWidth="1"/>
    <col min="5" max="5" width="23.42578125" style="8" customWidth="1"/>
    <col min="6" max="6" width="19" customWidth="1"/>
    <col min="7" max="7" width="29.140625" customWidth="1"/>
    <col min="8" max="8" width="27.28515625" style="3" customWidth="1"/>
    <col min="9" max="9" width="18.28515625" customWidth="1"/>
  </cols>
  <sheetData>
    <row r="1" spans="1:9" x14ac:dyDescent="0.25">
      <c r="A1" s="48" t="s">
        <v>253</v>
      </c>
      <c r="B1" s="49"/>
      <c r="C1" s="49"/>
      <c r="D1" s="49"/>
      <c r="E1" s="49"/>
      <c r="F1" s="49"/>
      <c r="G1" s="49"/>
      <c r="H1" s="49"/>
      <c r="I1" s="49"/>
    </row>
    <row r="2" spans="1:9" x14ac:dyDescent="0.25">
      <c r="A2" s="49"/>
      <c r="B2" s="49"/>
      <c r="C2" s="49"/>
      <c r="D2" s="49"/>
      <c r="E2" s="49"/>
      <c r="F2" s="49"/>
      <c r="G2" s="49"/>
      <c r="H2" s="49"/>
      <c r="I2" s="49"/>
    </row>
    <row r="3" spans="1:9" x14ac:dyDescent="0.25">
      <c r="A3" s="49"/>
      <c r="B3" s="49"/>
      <c r="C3" s="49"/>
      <c r="D3" s="49"/>
      <c r="E3" s="49"/>
      <c r="F3" s="49"/>
      <c r="G3" s="49"/>
      <c r="H3" s="49"/>
      <c r="I3" s="49"/>
    </row>
    <row r="4" spans="1:9" x14ac:dyDescent="0.25">
      <c r="A4" t="s">
        <v>0</v>
      </c>
      <c r="B4" t="s">
        <v>2</v>
      </c>
      <c r="C4" t="s">
        <v>3</v>
      </c>
      <c r="D4" s="8" t="s">
        <v>4</v>
      </c>
      <c r="E4" s="8" t="s">
        <v>5</v>
      </c>
      <c r="F4" t="s">
        <v>6</v>
      </c>
      <c r="G4" t="s">
        <v>7</v>
      </c>
      <c r="H4" s="3" t="s">
        <v>8</v>
      </c>
      <c r="I4" t="s">
        <v>1</v>
      </c>
    </row>
    <row r="5" spans="1:9" x14ac:dyDescent="0.25">
      <c r="A5" s="15" t="s">
        <v>33</v>
      </c>
      <c r="B5" s="15" t="s">
        <v>34</v>
      </c>
      <c r="C5" s="15" t="s">
        <v>35</v>
      </c>
      <c r="D5" s="29">
        <v>9001011234</v>
      </c>
      <c r="E5" s="29" t="s">
        <v>84</v>
      </c>
      <c r="F5" s="30" t="s">
        <v>36</v>
      </c>
      <c r="G5" s="15" t="s">
        <v>37</v>
      </c>
      <c r="H5" s="16">
        <v>46054</v>
      </c>
      <c r="I5" s="15" t="str">
        <f>TRIM(PatientsTable[[#This Row],[First_Name]]) &amp; " " &amp; TRIM(PatientsTable[[#This Row],[Last_Name]])</f>
        <v>Kelly Smith</v>
      </c>
    </row>
    <row r="6" spans="1:9" x14ac:dyDescent="0.25">
      <c r="A6" s="15" t="s">
        <v>38</v>
      </c>
      <c r="B6" s="15" t="s">
        <v>39</v>
      </c>
      <c r="C6" s="15" t="s">
        <v>40</v>
      </c>
      <c r="D6" s="29">
        <v>8905055678</v>
      </c>
      <c r="E6" s="29" t="s">
        <v>85</v>
      </c>
      <c r="F6" s="30" t="s">
        <v>41</v>
      </c>
      <c r="G6" s="15" t="s">
        <v>42</v>
      </c>
      <c r="H6" s="16">
        <v>46056</v>
      </c>
      <c r="I6" s="15" t="str">
        <f>TRIM(PatientsTable[[#This Row],[First_Name]]) &amp; " " &amp; TRIM(PatientsTable[[#This Row],[Last_Name]])</f>
        <v>John Doe</v>
      </c>
    </row>
    <row r="7" spans="1:9" x14ac:dyDescent="0.25">
      <c r="A7" s="15" t="s">
        <v>43</v>
      </c>
      <c r="B7" s="15" t="s">
        <v>44</v>
      </c>
      <c r="C7" s="15" t="s">
        <v>45</v>
      </c>
      <c r="D7" s="29">
        <v>9503031122</v>
      </c>
      <c r="E7" s="29" t="s">
        <v>86</v>
      </c>
      <c r="F7" s="30" t="s">
        <v>46</v>
      </c>
      <c r="G7" s="15" t="s">
        <v>47</v>
      </c>
      <c r="H7" s="16">
        <v>46063</v>
      </c>
      <c r="I7" s="15" t="str">
        <f>TRIM(PatientsTable[[#This Row],[First_Name]]) &amp; " " &amp; TRIM(PatientsTable[[#This Row],[Last_Name]])</f>
        <v>Mary Johnson</v>
      </c>
    </row>
    <row r="8" spans="1:9" x14ac:dyDescent="0.25">
      <c r="A8" s="15" t="s">
        <v>55</v>
      </c>
      <c r="B8" s="15" t="s">
        <v>56</v>
      </c>
      <c r="C8" s="15" t="s">
        <v>57</v>
      </c>
      <c r="D8" s="29">
        <v>9103034567</v>
      </c>
      <c r="E8" s="29" t="s">
        <v>87</v>
      </c>
      <c r="F8" s="30" t="s">
        <v>58</v>
      </c>
      <c r="G8" s="15" t="s">
        <v>59</v>
      </c>
      <c r="H8" s="15" t="s">
        <v>60</v>
      </c>
      <c r="I8" s="14" t="str">
        <f t="shared" ref="I8:I24" si="0">B8 &amp; " " &amp; C8</f>
        <v>Thabo Mokoena</v>
      </c>
    </row>
    <row r="9" spans="1:9" x14ac:dyDescent="0.25">
      <c r="A9" s="15" t="s">
        <v>61</v>
      </c>
      <c r="B9" s="15" t="s">
        <v>62</v>
      </c>
      <c r="C9" s="15" t="s">
        <v>63</v>
      </c>
      <c r="D9" s="29">
        <v>9509091122</v>
      </c>
      <c r="E9" s="29" t="s">
        <v>88</v>
      </c>
      <c r="F9" s="30" t="s">
        <v>64</v>
      </c>
      <c r="G9" s="15" t="s">
        <v>65</v>
      </c>
      <c r="H9" s="16" t="s">
        <v>66</v>
      </c>
      <c r="I9" s="14" t="str">
        <f t="shared" si="0"/>
        <v>Ayesha Khan</v>
      </c>
    </row>
    <row r="10" spans="1:9" x14ac:dyDescent="0.25">
      <c r="A10" s="15" t="s">
        <v>67</v>
      </c>
      <c r="B10" s="15" t="s">
        <v>68</v>
      </c>
      <c r="C10" s="15" t="s">
        <v>69</v>
      </c>
      <c r="D10" s="29">
        <v>8701017788</v>
      </c>
      <c r="E10" s="29" t="s">
        <v>89</v>
      </c>
      <c r="F10" s="30" t="s">
        <v>70</v>
      </c>
      <c r="G10" s="15" t="s">
        <v>71</v>
      </c>
      <c r="H10" s="16" t="s">
        <v>72</v>
      </c>
      <c r="I10" s="14" t="str">
        <f t="shared" si="0"/>
        <v>Sipho Nkosi</v>
      </c>
    </row>
    <row r="11" spans="1:9" x14ac:dyDescent="0.25">
      <c r="A11" s="15" t="s">
        <v>73</v>
      </c>
      <c r="B11" s="15" t="s">
        <v>74</v>
      </c>
      <c r="C11" s="15" t="s">
        <v>75</v>
      </c>
      <c r="D11" s="29">
        <v>9302123456</v>
      </c>
      <c r="E11" s="29" t="s">
        <v>90</v>
      </c>
      <c r="F11" s="30" t="s">
        <v>76</v>
      </c>
      <c r="G11" s="15" t="s">
        <v>77</v>
      </c>
      <c r="H11" s="16" t="s">
        <v>78</v>
      </c>
      <c r="I11" s="14" t="str">
        <f t="shared" si="0"/>
        <v>Lerato Molefe</v>
      </c>
    </row>
    <row r="12" spans="1:9" x14ac:dyDescent="0.25">
      <c r="A12" s="15" t="s">
        <v>79</v>
      </c>
      <c r="B12" s="15" t="s">
        <v>80</v>
      </c>
      <c r="C12" s="15" t="s">
        <v>81</v>
      </c>
      <c r="D12" s="29">
        <v>8907072233</v>
      </c>
      <c r="E12" s="29" t="s">
        <v>91</v>
      </c>
      <c r="F12" s="30" t="s">
        <v>82</v>
      </c>
      <c r="G12" s="15" t="s">
        <v>47</v>
      </c>
      <c r="H12" s="16" t="s">
        <v>83</v>
      </c>
      <c r="I12" s="14" t="str">
        <f t="shared" si="0"/>
        <v>Daniel Jacobs</v>
      </c>
    </row>
    <row r="13" spans="1:9" x14ac:dyDescent="0.25">
      <c r="A13" s="15" t="s">
        <v>92</v>
      </c>
      <c r="B13" s="15" t="s">
        <v>93</v>
      </c>
      <c r="C13" s="15" t="s">
        <v>94</v>
      </c>
      <c r="D13" s="31">
        <v>9403031111</v>
      </c>
      <c r="E13" s="31">
        <v>723344556</v>
      </c>
      <c r="F13" s="30" t="s">
        <v>95</v>
      </c>
      <c r="G13" s="15" t="s">
        <v>37</v>
      </c>
      <c r="H13" s="15" t="s">
        <v>96</v>
      </c>
      <c r="I13" s="14" t="str">
        <f t="shared" si="0"/>
        <v>Kabelo Ndlovu</v>
      </c>
    </row>
    <row r="14" spans="1:9" x14ac:dyDescent="0.25">
      <c r="A14" s="15" t="s">
        <v>97</v>
      </c>
      <c r="B14" s="15" t="s">
        <v>98</v>
      </c>
      <c r="C14" s="15" t="s">
        <v>99</v>
      </c>
      <c r="D14" s="29">
        <v>9607072222</v>
      </c>
      <c r="E14" s="29" t="s">
        <v>154</v>
      </c>
      <c r="F14" s="30" t="s">
        <v>100</v>
      </c>
      <c r="G14" s="15" t="s">
        <v>101</v>
      </c>
      <c r="H14" s="16" t="s">
        <v>102</v>
      </c>
      <c r="I14" s="14" t="str">
        <f t="shared" si="0"/>
        <v>Bianca Adams</v>
      </c>
    </row>
    <row r="15" spans="1:9" x14ac:dyDescent="0.25">
      <c r="A15" s="15" t="s">
        <v>103</v>
      </c>
      <c r="B15" s="15" t="s">
        <v>104</v>
      </c>
      <c r="C15" s="15" t="s">
        <v>105</v>
      </c>
      <c r="D15" s="29">
        <v>9202023333</v>
      </c>
      <c r="E15" s="29" t="s">
        <v>155</v>
      </c>
      <c r="F15" s="30" t="s">
        <v>106</v>
      </c>
      <c r="G15" s="15" t="s">
        <v>59</v>
      </c>
      <c r="H15" s="16" t="s">
        <v>107</v>
      </c>
      <c r="I15" s="14" t="str">
        <f t="shared" si="0"/>
        <v>Mpho Sithole</v>
      </c>
    </row>
    <row r="16" spans="1:9" x14ac:dyDescent="0.25">
      <c r="A16" s="15" t="s">
        <v>108</v>
      </c>
      <c r="B16" s="15" t="s">
        <v>109</v>
      </c>
      <c r="C16" s="15" t="s">
        <v>110</v>
      </c>
      <c r="D16" s="29">
        <v>8909094444</v>
      </c>
      <c r="E16" s="29" t="s">
        <v>156</v>
      </c>
      <c r="F16" s="30" t="s">
        <v>111</v>
      </c>
      <c r="G16" s="15" t="s">
        <v>47</v>
      </c>
      <c r="H16" s="16" t="s">
        <v>112</v>
      </c>
      <c r="I16" s="14" t="str">
        <f t="shared" si="0"/>
        <v>Jason Petersen</v>
      </c>
    </row>
    <row r="17" spans="1:9" x14ac:dyDescent="0.25">
      <c r="A17" s="15" t="s">
        <v>113</v>
      </c>
      <c r="B17" s="15" t="s">
        <v>114</v>
      </c>
      <c r="C17" s="15" t="s">
        <v>115</v>
      </c>
      <c r="D17" s="29">
        <v>9705055555</v>
      </c>
      <c r="E17" s="29" t="s">
        <v>157</v>
      </c>
      <c r="F17" s="30" t="s">
        <v>116</v>
      </c>
      <c r="G17" s="15" t="s">
        <v>117</v>
      </c>
      <c r="H17" s="16" t="s">
        <v>118</v>
      </c>
      <c r="I17" s="14" t="str">
        <f t="shared" si="0"/>
        <v>Zanele Khumalo</v>
      </c>
    </row>
    <row r="18" spans="1:9" x14ac:dyDescent="0.25">
      <c r="A18" s="15" t="s">
        <v>119</v>
      </c>
      <c r="B18" s="15" t="s">
        <v>120</v>
      </c>
      <c r="C18" s="15" t="s">
        <v>121</v>
      </c>
      <c r="D18" s="29">
        <v>9108086666</v>
      </c>
      <c r="E18" s="29" t="s">
        <v>158</v>
      </c>
      <c r="F18" s="30" t="s">
        <v>122</v>
      </c>
      <c r="G18" s="15" t="s">
        <v>71</v>
      </c>
      <c r="H18" s="16" t="s">
        <v>123</v>
      </c>
      <c r="I18" s="14" t="str">
        <f t="shared" si="0"/>
        <v>Ryan Daniels</v>
      </c>
    </row>
    <row r="19" spans="1:9" x14ac:dyDescent="0.25">
      <c r="A19" s="15" t="s">
        <v>124</v>
      </c>
      <c r="B19" s="15" t="s">
        <v>125</v>
      </c>
      <c r="C19" s="15" t="s">
        <v>126</v>
      </c>
      <c r="D19" s="29">
        <v>9501017777</v>
      </c>
      <c r="E19" s="29" t="s">
        <v>159</v>
      </c>
      <c r="F19" s="30" t="s">
        <v>127</v>
      </c>
      <c r="G19" s="15" t="s">
        <v>65</v>
      </c>
      <c r="H19" s="16" t="s">
        <v>128</v>
      </c>
      <c r="I19" s="14" t="str">
        <f t="shared" si="0"/>
        <v>Fatima Ismail</v>
      </c>
    </row>
    <row r="20" spans="1:9" x14ac:dyDescent="0.25">
      <c r="A20" s="15" t="s">
        <v>129</v>
      </c>
      <c r="B20" s="15" t="s">
        <v>130</v>
      </c>
      <c r="C20" s="15" t="s">
        <v>131</v>
      </c>
      <c r="D20" s="29">
        <v>9306068888</v>
      </c>
      <c r="E20" s="29" t="s">
        <v>160</v>
      </c>
      <c r="F20" s="30" t="s">
        <v>132</v>
      </c>
      <c r="G20" s="15" t="s">
        <v>37</v>
      </c>
      <c r="H20" s="16" t="s">
        <v>133</v>
      </c>
      <c r="I20" s="14" t="str">
        <f t="shared" si="0"/>
        <v>Sibusiso Mthembu</v>
      </c>
    </row>
    <row r="21" spans="1:9" x14ac:dyDescent="0.25">
      <c r="A21" s="15" t="s">
        <v>134</v>
      </c>
      <c r="B21" s="15" t="s">
        <v>135</v>
      </c>
      <c r="C21" s="15" t="s">
        <v>136</v>
      </c>
      <c r="D21" s="29">
        <v>9404049999</v>
      </c>
      <c r="E21" s="29" t="s">
        <v>161</v>
      </c>
      <c r="F21" s="30" t="s">
        <v>137</v>
      </c>
      <c r="G21" s="15" t="s">
        <v>101</v>
      </c>
      <c r="H21" s="16" t="s">
        <v>138</v>
      </c>
      <c r="I21" s="14" t="str">
        <f t="shared" si="0"/>
        <v>Nicole Williams</v>
      </c>
    </row>
    <row r="22" spans="1:9" x14ac:dyDescent="0.25">
      <c r="A22" s="15" t="s">
        <v>139</v>
      </c>
      <c r="B22" s="15" t="s">
        <v>140</v>
      </c>
      <c r="C22" s="15" t="s">
        <v>141</v>
      </c>
      <c r="D22" s="29">
        <v>9003031212</v>
      </c>
      <c r="E22" s="29" t="s">
        <v>162</v>
      </c>
      <c r="F22" s="30" t="s">
        <v>142</v>
      </c>
      <c r="G22" s="15" t="s">
        <v>117</v>
      </c>
      <c r="H22" s="16" t="s">
        <v>143</v>
      </c>
      <c r="I22" s="14" t="str">
        <f t="shared" si="0"/>
        <v>Andile Zulu</v>
      </c>
    </row>
    <row r="23" spans="1:9" x14ac:dyDescent="0.25">
      <c r="A23" s="15" t="s">
        <v>144</v>
      </c>
      <c r="B23" s="15" t="s">
        <v>145</v>
      </c>
      <c r="C23" s="15" t="s">
        <v>146</v>
      </c>
      <c r="D23" s="29">
        <v>9207073434</v>
      </c>
      <c r="E23" s="29" t="s">
        <v>163</v>
      </c>
      <c r="F23" s="30" t="s">
        <v>147</v>
      </c>
      <c r="G23" s="15" t="s">
        <v>47</v>
      </c>
      <c r="H23" s="16" t="s">
        <v>148</v>
      </c>
      <c r="I23" s="14" t="str">
        <f t="shared" si="0"/>
        <v>Carla Ferreira</v>
      </c>
    </row>
    <row r="24" spans="1:9" x14ac:dyDescent="0.25">
      <c r="A24" s="15" t="s">
        <v>149</v>
      </c>
      <c r="B24" s="15" t="s">
        <v>150</v>
      </c>
      <c r="C24" s="15" t="s">
        <v>151</v>
      </c>
      <c r="D24" s="29">
        <v>8808085656</v>
      </c>
      <c r="E24" s="29" t="s">
        <v>164</v>
      </c>
      <c r="F24" s="30" t="s">
        <v>152</v>
      </c>
      <c r="G24" s="15" t="s">
        <v>37</v>
      </c>
      <c r="H24" s="16" t="s">
        <v>153</v>
      </c>
      <c r="I24" s="14" t="str">
        <f t="shared" si="0"/>
        <v>Themba Dlamini</v>
      </c>
    </row>
    <row r="25" spans="1:9" x14ac:dyDescent="0.25">
      <c r="A25" s="14"/>
      <c r="B25" s="14"/>
      <c r="C25" s="14"/>
      <c r="D25" s="32"/>
      <c r="E25" s="32"/>
      <c r="F25" s="14"/>
      <c r="G25" s="14"/>
      <c r="H25" s="18"/>
      <c r="I25" s="14"/>
    </row>
    <row r="26" spans="1:9" x14ac:dyDescent="0.25">
      <c r="A26" s="14"/>
      <c r="B26" s="14"/>
      <c r="C26" s="14"/>
      <c r="D26" s="32"/>
      <c r="E26" s="32"/>
      <c r="F26" s="14"/>
      <c r="G26" s="14"/>
      <c r="H26" s="18"/>
      <c r="I26" s="14" t="str">
        <f t="shared" ref="I26:I69" si="1">B26 &amp; " " &amp; C26</f>
        <v xml:space="preserve"> </v>
      </c>
    </row>
    <row r="27" spans="1:9" x14ac:dyDescent="0.25">
      <c r="A27" s="14"/>
      <c r="B27" s="14"/>
      <c r="C27" s="14"/>
      <c r="D27" s="32"/>
      <c r="E27" s="32"/>
      <c r="F27" s="14"/>
      <c r="G27" s="14"/>
      <c r="H27" s="18"/>
      <c r="I27" s="14" t="str">
        <f t="shared" si="1"/>
        <v xml:space="preserve"> </v>
      </c>
    </row>
    <row r="28" spans="1:9" x14ac:dyDescent="0.25">
      <c r="A28" s="14"/>
      <c r="B28" s="14"/>
      <c r="C28" s="14"/>
      <c r="D28" s="32"/>
      <c r="E28" s="32"/>
      <c r="F28" s="14"/>
      <c r="G28" s="14"/>
      <c r="H28" s="18"/>
      <c r="I28" s="14" t="str">
        <f t="shared" si="1"/>
        <v xml:space="preserve"> </v>
      </c>
    </row>
    <row r="29" spans="1:9" x14ac:dyDescent="0.25">
      <c r="A29" s="14"/>
      <c r="B29" s="14"/>
      <c r="C29" s="14"/>
      <c r="D29" s="32"/>
      <c r="E29" s="32"/>
      <c r="F29" s="14"/>
      <c r="G29" s="14"/>
      <c r="H29" s="18"/>
      <c r="I29" s="14" t="str">
        <f t="shared" si="1"/>
        <v xml:space="preserve"> </v>
      </c>
    </row>
    <row r="30" spans="1:9" x14ac:dyDescent="0.25">
      <c r="A30" s="14"/>
      <c r="B30" s="14"/>
      <c r="C30" s="14"/>
      <c r="D30" s="32"/>
      <c r="E30" s="32"/>
      <c r="F30" s="14"/>
      <c r="G30" s="14"/>
      <c r="H30" s="18"/>
      <c r="I30" s="14" t="str">
        <f t="shared" si="1"/>
        <v xml:space="preserve"> </v>
      </c>
    </row>
    <row r="31" spans="1:9" x14ac:dyDescent="0.25">
      <c r="A31" s="14"/>
      <c r="B31" s="14"/>
      <c r="C31" s="14"/>
      <c r="D31" s="32"/>
      <c r="E31" s="32"/>
      <c r="F31" s="14"/>
      <c r="G31" s="14"/>
      <c r="H31" s="18"/>
      <c r="I31" s="14" t="str">
        <f t="shared" si="1"/>
        <v xml:space="preserve"> </v>
      </c>
    </row>
    <row r="32" spans="1:9" x14ac:dyDescent="0.25">
      <c r="A32" s="14"/>
      <c r="B32" s="14"/>
      <c r="C32" s="14"/>
      <c r="D32" s="32"/>
      <c r="E32" s="32"/>
      <c r="F32" s="14"/>
      <c r="G32" s="14"/>
      <c r="H32" s="18"/>
      <c r="I32" s="14" t="str">
        <f t="shared" si="1"/>
        <v xml:space="preserve"> </v>
      </c>
    </row>
    <row r="33" spans="1:9" x14ac:dyDescent="0.25">
      <c r="A33" s="14"/>
      <c r="B33" s="14"/>
      <c r="C33" s="14"/>
      <c r="D33" s="32"/>
      <c r="E33" s="32"/>
      <c r="F33" s="14"/>
      <c r="G33" s="14"/>
      <c r="H33" s="18"/>
      <c r="I33" s="14" t="str">
        <f t="shared" si="1"/>
        <v xml:space="preserve"> </v>
      </c>
    </row>
    <row r="34" spans="1:9" x14ac:dyDescent="0.25">
      <c r="A34" s="14"/>
      <c r="B34" s="14"/>
      <c r="C34" s="14"/>
      <c r="D34" s="32"/>
      <c r="E34" s="32"/>
      <c r="F34" s="14"/>
      <c r="G34" s="14"/>
      <c r="H34" s="18"/>
      <c r="I34" s="14" t="str">
        <f t="shared" si="1"/>
        <v xml:space="preserve"> </v>
      </c>
    </row>
    <row r="35" spans="1:9" x14ac:dyDescent="0.25">
      <c r="A35" s="14"/>
      <c r="B35" s="14"/>
      <c r="C35" s="14"/>
      <c r="D35" s="32"/>
      <c r="E35" s="32"/>
      <c r="F35" s="14"/>
      <c r="G35" s="14"/>
      <c r="H35" s="18"/>
      <c r="I35" s="14" t="str">
        <f t="shared" si="1"/>
        <v xml:space="preserve"> </v>
      </c>
    </row>
    <row r="36" spans="1:9" x14ac:dyDescent="0.25">
      <c r="A36" s="14"/>
      <c r="B36" s="14"/>
      <c r="C36" s="14"/>
      <c r="D36" s="32"/>
      <c r="E36" s="32"/>
      <c r="F36" s="14"/>
      <c r="G36" s="14"/>
      <c r="H36" s="18"/>
      <c r="I36" s="14" t="str">
        <f t="shared" si="1"/>
        <v xml:space="preserve"> </v>
      </c>
    </row>
    <row r="37" spans="1:9" x14ac:dyDescent="0.25">
      <c r="A37" s="14"/>
      <c r="B37" s="14"/>
      <c r="C37" s="14"/>
      <c r="D37" s="32"/>
      <c r="E37" s="32"/>
      <c r="F37" s="14"/>
      <c r="G37" s="14"/>
      <c r="H37" s="18"/>
      <c r="I37" s="14" t="str">
        <f t="shared" si="1"/>
        <v xml:space="preserve"> </v>
      </c>
    </row>
    <row r="38" spans="1:9" x14ac:dyDescent="0.25">
      <c r="A38" s="14"/>
      <c r="B38" s="14"/>
      <c r="C38" s="14"/>
      <c r="D38" s="32"/>
      <c r="E38" s="32"/>
      <c r="F38" s="14"/>
      <c r="G38" s="14"/>
      <c r="H38" s="18"/>
      <c r="I38" s="14" t="str">
        <f t="shared" si="1"/>
        <v xml:space="preserve"> </v>
      </c>
    </row>
    <row r="39" spans="1:9" x14ac:dyDescent="0.25">
      <c r="A39" s="14"/>
      <c r="B39" s="14"/>
      <c r="C39" s="14"/>
      <c r="D39" s="32"/>
      <c r="E39" s="32"/>
      <c r="F39" s="14"/>
      <c r="G39" s="14"/>
      <c r="H39" s="18"/>
      <c r="I39" s="14" t="str">
        <f t="shared" si="1"/>
        <v xml:space="preserve"> </v>
      </c>
    </row>
    <row r="40" spans="1:9" x14ac:dyDescent="0.25">
      <c r="A40" s="14"/>
      <c r="B40" s="14"/>
      <c r="C40" s="14"/>
      <c r="D40" s="32"/>
      <c r="E40" s="32"/>
      <c r="F40" s="14"/>
      <c r="G40" s="14"/>
      <c r="H40" s="18"/>
      <c r="I40" s="14" t="str">
        <f t="shared" si="1"/>
        <v xml:space="preserve"> </v>
      </c>
    </row>
    <row r="41" spans="1:9" x14ac:dyDescent="0.25">
      <c r="A41" s="14"/>
      <c r="B41" s="14"/>
      <c r="C41" s="14"/>
      <c r="D41" s="32"/>
      <c r="E41" s="32"/>
      <c r="F41" s="14"/>
      <c r="G41" s="14"/>
      <c r="H41" s="18"/>
      <c r="I41" s="14" t="str">
        <f t="shared" si="1"/>
        <v xml:space="preserve"> </v>
      </c>
    </row>
    <row r="42" spans="1:9" x14ac:dyDescent="0.25">
      <c r="A42" s="14"/>
      <c r="B42" s="14"/>
      <c r="C42" s="14"/>
      <c r="D42" s="32"/>
      <c r="E42" s="32"/>
      <c r="F42" s="14"/>
      <c r="G42" s="14"/>
      <c r="H42" s="18"/>
      <c r="I42" s="14" t="str">
        <f t="shared" si="1"/>
        <v xml:space="preserve"> </v>
      </c>
    </row>
    <row r="43" spans="1:9" x14ac:dyDescent="0.25">
      <c r="A43" s="14"/>
      <c r="B43" s="14"/>
      <c r="C43" s="14"/>
      <c r="D43" s="32"/>
      <c r="E43" s="32"/>
      <c r="F43" s="14"/>
      <c r="G43" s="14"/>
      <c r="H43" s="18"/>
      <c r="I43" s="14" t="str">
        <f t="shared" si="1"/>
        <v xml:space="preserve"> </v>
      </c>
    </row>
    <row r="44" spans="1:9" x14ac:dyDescent="0.25">
      <c r="A44" s="14"/>
      <c r="B44" s="14"/>
      <c r="C44" s="14"/>
      <c r="D44" s="32"/>
      <c r="E44" s="32"/>
      <c r="F44" s="14"/>
      <c r="G44" s="14"/>
      <c r="H44" s="18"/>
      <c r="I44" s="14" t="str">
        <f t="shared" si="1"/>
        <v xml:space="preserve"> </v>
      </c>
    </row>
    <row r="45" spans="1:9" x14ac:dyDescent="0.25">
      <c r="A45" s="14"/>
      <c r="B45" s="14"/>
      <c r="C45" s="14"/>
      <c r="D45" s="32"/>
      <c r="E45" s="32"/>
      <c r="F45" s="14"/>
      <c r="G45" s="14"/>
      <c r="H45" s="18"/>
      <c r="I45" s="14" t="str">
        <f t="shared" si="1"/>
        <v xml:space="preserve"> </v>
      </c>
    </row>
    <row r="46" spans="1:9" x14ac:dyDescent="0.25">
      <c r="A46" s="14"/>
      <c r="B46" s="14"/>
      <c r="C46" s="14"/>
      <c r="D46" s="32"/>
      <c r="E46" s="32"/>
      <c r="F46" s="14"/>
      <c r="G46" s="14"/>
      <c r="H46" s="18"/>
      <c r="I46" s="14" t="str">
        <f t="shared" si="1"/>
        <v xml:space="preserve"> </v>
      </c>
    </row>
    <row r="47" spans="1:9" x14ac:dyDescent="0.25">
      <c r="A47" s="14"/>
      <c r="B47" s="14"/>
      <c r="C47" s="14"/>
      <c r="D47" s="32"/>
      <c r="E47" s="32"/>
      <c r="F47" s="14"/>
      <c r="G47" s="14"/>
      <c r="H47" s="18"/>
      <c r="I47" s="14" t="str">
        <f t="shared" si="1"/>
        <v xml:space="preserve"> </v>
      </c>
    </row>
    <row r="48" spans="1:9" x14ac:dyDescent="0.25">
      <c r="A48" s="14"/>
      <c r="B48" s="14"/>
      <c r="C48" s="14"/>
      <c r="D48" s="32"/>
      <c r="E48" s="32"/>
      <c r="F48" s="14"/>
      <c r="G48" s="14"/>
      <c r="H48" s="18"/>
      <c r="I48" s="14" t="str">
        <f t="shared" si="1"/>
        <v xml:space="preserve"> </v>
      </c>
    </row>
    <row r="49" spans="1:9" x14ac:dyDescent="0.25">
      <c r="A49" s="14"/>
      <c r="B49" s="14"/>
      <c r="C49" s="14"/>
      <c r="D49" s="32"/>
      <c r="E49" s="32"/>
      <c r="F49" s="14"/>
      <c r="G49" s="14"/>
      <c r="H49" s="18"/>
      <c r="I49" s="14" t="str">
        <f t="shared" si="1"/>
        <v xml:space="preserve"> </v>
      </c>
    </row>
    <row r="50" spans="1:9" x14ac:dyDescent="0.25">
      <c r="A50" s="14"/>
      <c r="B50" s="14"/>
      <c r="C50" s="14"/>
      <c r="D50" s="32"/>
      <c r="E50" s="32"/>
      <c r="F50" s="14"/>
      <c r="G50" s="14"/>
      <c r="H50" s="18"/>
      <c r="I50" s="14" t="str">
        <f t="shared" si="1"/>
        <v xml:space="preserve"> </v>
      </c>
    </row>
    <row r="51" spans="1:9" x14ac:dyDescent="0.25">
      <c r="A51" s="14"/>
      <c r="B51" s="14"/>
      <c r="C51" s="14"/>
      <c r="D51" s="32"/>
      <c r="E51" s="32"/>
      <c r="F51" s="14"/>
      <c r="G51" s="14"/>
      <c r="H51" s="18"/>
      <c r="I51" s="14" t="str">
        <f t="shared" si="1"/>
        <v xml:space="preserve"> </v>
      </c>
    </row>
    <row r="52" spans="1:9" x14ac:dyDescent="0.25">
      <c r="A52" s="14"/>
      <c r="B52" s="14"/>
      <c r="C52" s="14"/>
      <c r="D52" s="32"/>
      <c r="E52" s="32"/>
      <c r="F52" s="14"/>
      <c r="G52" s="14"/>
      <c r="H52" s="18"/>
      <c r="I52" s="14" t="str">
        <f t="shared" si="1"/>
        <v xml:space="preserve"> </v>
      </c>
    </row>
    <row r="53" spans="1:9" x14ac:dyDescent="0.25">
      <c r="A53" s="14"/>
      <c r="B53" s="14"/>
      <c r="C53" s="14"/>
      <c r="D53" s="32"/>
      <c r="E53" s="32"/>
      <c r="F53" s="14"/>
      <c r="G53" s="14"/>
      <c r="H53" s="18"/>
      <c r="I53" s="14" t="str">
        <f t="shared" si="1"/>
        <v xml:space="preserve"> </v>
      </c>
    </row>
    <row r="54" spans="1:9" x14ac:dyDescent="0.25">
      <c r="A54" s="14"/>
      <c r="B54" s="14"/>
      <c r="C54" s="14"/>
      <c r="D54" s="32"/>
      <c r="E54" s="32"/>
      <c r="F54" s="14"/>
      <c r="G54" s="14"/>
      <c r="H54" s="18"/>
      <c r="I54" s="14" t="str">
        <f t="shared" si="1"/>
        <v xml:space="preserve"> </v>
      </c>
    </row>
    <row r="55" spans="1:9" x14ac:dyDescent="0.25">
      <c r="A55" s="14"/>
      <c r="B55" s="14"/>
      <c r="C55" s="14"/>
      <c r="D55" s="32"/>
      <c r="E55" s="32"/>
      <c r="F55" s="14"/>
      <c r="G55" s="14"/>
      <c r="H55" s="18"/>
      <c r="I55" s="14" t="str">
        <f t="shared" si="1"/>
        <v xml:space="preserve"> </v>
      </c>
    </row>
    <row r="56" spans="1:9" x14ac:dyDescent="0.25">
      <c r="A56" s="14"/>
      <c r="B56" s="14"/>
      <c r="C56" s="14"/>
      <c r="D56" s="32"/>
      <c r="E56" s="32"/>
      <c r="F56" s="14"/>
      <c r="G56" s="14"/>
      <c r="H56" s="18"/>
      <c r="I56" s="14" t="str">
        <f t="shared" si="1"/>
        <v xml:space="preserve"> </v>
      </c>
    </row>
    <row r="57" spans="1:9" x14ac:dyDescent="0.25">
      <c r="A57" s="14"/>
      <c r="B57" s="14"/>
      <c r="C57" s="14"/>
      <c r="D57" s="32"/>
      <c r="E57" s="32"/>
      <c r="F57" s="14"/>
      <c r="G57" s="14"/>
      <c r="H57" s="18"/>
      <c r="I57" s="14" t="str">
        <f t="shared" si="1"/>
        <v xml:space="preserve"> </v>
      </c>
    </row>
    <row r="58" spans="1:9" x14ac:dyDescent="0.25">
      <c r="A58" s="14"/>
      <c r="B58" s="14"/>
      <c r="C58" s="14"/>
      <c r="D58" s="32"/>
      <c r="E58" s="32"/>
      <c r="F58" s="14"/>
      <c r="G58" s="14"/>
      <c r="H58" s="18"/>
      <c r="I58" s="14" t="str">
        <f t="shared" si="1"/>
        <v xml:space="preserve"> </v>
      </c>
    </row>
    <row r="59" spans="1:9" x14ac:dyDescent="0.25">
      <c r="A59" s="14"/>
      <c r="B59" s="14"/>
      <c r="C59" s="14"/>
      <c r="D59" s="32"/>
      <c r="E59" s="32"/>
      <c r="F59" s="14"/>
      <c r="G59" s="14"/>
      <c r="H59" s="18"/>
      <c r="I59" s="14" t="str">
        <f t="shared" si="1"/>
        <v xml:space="preserve"> </v>
      </c>
    </row>
    <row r="60" spans="1:9" x14ac:dyDescent="0.25">
      <c r="A60" s="14"/>
      <c r="B60" s="14"/>
      <c r="C60" s="14"/>
      <c r="D60" s="32"/>
      <c r="E60" s="32"/>
      <c r="F60" s="14"/>
      <c r="G60" s="14"/>
      <c r="H60" s="18"/>
      <c r="I60" s="14" t="str">
        <f t="shared" si="1"/>
        <v xml:space="preserve"> </v>
      </c>
    </row>
    <row r="61" spans="1:9" x14ac:dyDescent="0.25">
      <c r="A61" s="14"/>
      <c r="B61" s="14"/>
      <c r="C61" s="14"/>
      <c r="D61" s="32"/>
      <c r="E61" s="32"/>
      <c r="F61" s="14"/>
      <c r="G61" s="14"/>
      <c r="H61" s="18"/>
      <c r="I61" s="14" t="str">
        <f t="shared" si="1"/>
        <v xml:space="preserve"> </v>
      </c>
    </row>
    <row r="62" spans="1:9" x14ac:dyDescent="0.25">
      <c r="A62" s="14"/>
      <c r="B62" s="14"/>
      <c r="C62" s="14"/>
      <c r="D62" s="32"/>
      <c r="E62" s="32"/>
      <c r="F62" s="14"/>
      <c r="G62" s="14"/>
      <c r="H62" s="18"/>
      <c r="I62" s="14" t="str">
        <f t="shared" si="1"/>
        <v xml:space="preserve"> </v>
      </c>
    </row>
    <row r="63" spans="1:9" x14ac:dyDescent="0.25">
      <c r="A63" s="14"/>
      <c r="B63" s="14"/>
      <c r="C63" s="14"/>
      <c r="D63" s="32"/>
      <c r="E63" s="32"/>
      <c r="F63" s="14"/>
      <c r="G63" s="14"/>
      <c r="H63" s="18"/>
      <c r="I63" s="14" t="str">
        <f t="shared" si="1"/>
        <v xml:space="preserve"> </v>
      </c>
    </row>
    <row r="64" spans="1:9" x14ac:dyDescent="0.25">
      <c r="A64" s="14"/>
      <c r="B64" s="14"/>
      <c r="C64" s="14"/>
      <c r="D64" s="32"/>
      <c r="E64" s="32"/>
      <c r="F64" s="14"/>
      <c r="G64" s="14"/>
      <c r="H64" s="18"/>
      <c r="I64" s="14" t="str">
        <f t="shared" si="1"/>
        <v xml:space="preserve"> </v>
      </c>
    </row>
    <row r="65" spans="1:9" x14ac:dyDescent="0.25">
      <c r="A65" s="14"/>
      <c r="B65" s="14"/>
      <c r="C65" s="14"/>
      <c r="D65" s="32"/>
      <c r="E65" s="32"/>
      <c r="F65" s="14"/>
      <c r="G65" s="14"/>
      <c r="H65" s="18"/>
      <c r="I65" s="14" t="str">
        <f t="shared" si="1"/>
        <v xml:space="preserve"> </v>
      </c>
    </row>
    <row r="66" spans="1:9" x14ac:dyDescent="0.25">
      <c r="A66" s="14"/>
      <c r="B66" s="14"/>
      <c r="C66" s="14"/>
      <c r="D66" s="32"/>
      <c r="E66" s="32"/>
      <c r="F66" s="14"/>
      <c r="G66" s="14"/>
      <c r="H66" s="18"/>
      <c r="I66" s="14" t="str">
        <f t="shared" si="1"/>
        <v xml:space="preserve"> </v>
      </c>
    </row>
    <row r="67" spans="1:9" x14ac:dyDescent="0.25">
      <c r="A67" s="14"/>
      <c r="B67" s="14"/>
      <c r="C67" s="14"/>
      <c r="D67" s="32"/>
      <c r="E67" s="32"/>
      <c r="F67" s="14"/>
      <c r="G67" s="14"/>
      <c r="H67" s="18"/>
      <c r="I67" s="14" t="str">
        <f t="shared" si="1"/>
        <v xml:space="preserve"> </v>
      </c>
    </row>
    <row r="68" spans="1:9" x14ac:dyDescent="0.25">
      <c r="A68" s="14"/>
      <c r="B68" s="14"/>
      <c r="C68" s="14"/>
      <c r="D68" s="32"/>
      <c r="E68" s="32"/>
      <c r="F68" s="14"/>
      <c r="G68" s="14"/>
      <c r="H68" s="18"/>
      <c r="I68" s="14" t="str">
        <f t="shared" si="1"/>
        <v xml:space="preserve"> </v>
      </c>
    </row>
    <row r="69" spans="1:9" x14ac:dyDescent="0.25">
      <c r="A69" s="14"/>
      <c r="B69" s="14"/>
      <c r="C69" s="14"/>
      <c r="D69" s="32"/>
      <c r="E69" s="32"/>
      <c r="F69" s="14"/>
      <c r="G69" s="14"/>
      <c r="H69" s="18"/>
      <c r="I69" s="14" t="str">
        <f t="shared" si="1"/>
        <v xml:space="preserve"> </v>
      </c>
    </row>
    <row r="70" spans="1:9" x14ac:dyDescent="0.25">
      <c r="A70" s="14"/>
      <c r="B70" s="14"/>
      <c r="C70" s="14"/>
      <c r="D70" s="32"/>
      <c r="E70" s="32"/>
      <c r="F70" s="14"/>
      <c r="G70" s="14"/>
      <c r="H70" s="18"/>
      <c r="I70" s="14" t="str">
        <f t="shared" ref="I70:I133" si="2">B70 &amp; " " &amp; C70</f>
        <v xml:space="preserve"> </v>
      </c>
    </row>
    <row r="71" spans="1:9" x14ac:dyDescent="0.25">
      <c r="A71" s="14"/>
      <c r="B71" s="14"/>
      <c r="C71" s="14"/>
      <c r="D71" s="32"/>
      <c r="E71" s="32"/>
      <c r="F71" s="14"/>
      <c r="G71" s="14"/>
      <c r="H71" s="18"/>
      <c r="I71" s="14" t="str">
        <f t="shared" si="2"/>
        <v xml:space="preserve"> </v>
      </c>
    </row>
    <row r="72" spans="1:9" x14ac:dyDescent="0.25">
      <c r="A72" s="14"/>
      <c r="B72" s="14"/>
      <c r="C72" s="14"/>
      <c r="D72" s="32"/>
      <c r="E72" s="32"/>
      <c r="F72" s="14"/>
      <c r="G72" s="14"/>
      <c r="H72" s="18"/>
      <c r="I72" s="14" t="str">
        <f t="shared" si="2"/>
        <v xml:space="preserve"> </v>
      </c>
    </row>
    <row r="73" spans="1:9" x14ac:dyDescent="0.25">
      <c r="A73" s="14"/>
      <c r="B73" s="14"/>
      <c r="C73" s="14"/>
      <c r="D73" s="32"/>
      <c r="E73" s="32"/>
      <c r="F73" s="14"/>
      <c r="G73" s="14"/>
      <c r="H73" s="18"/>
      <c r="I73" s="14" t="str">
        <f t="shared" si="2"/>
        <v xml:space="preserve"> </v>
      </c>
    </row>
    <row r="74" spans="1:9" x14ac:dyDescent="0.25">
      <c r="A74" s="14"/>
      <c r="B74" s="14"/>
      <c r="C74" s="14"/>
      <c r="D74" s="32"/>
      <c r="E74" s="32"/>
      <c r="F74" s="14"/>
      <c r="G74" s="14"/>
      <c r="H74" s="18"/>
      <c r="I74" s="14" t="str">
        <f t="shared" si="2"/>
        <v xml:space="preserve"> </v>
      </c>
    </row>
    <row r="75" spans="1:9" x14ac:dyDescent="0.25">
      <c r="A75" s="14"/>
      <c r="B75" s="14"/>
      <c r="C75" s="14"/>
      <c r="D75" s="32"/>
      <c r="E75" s="32"/>
      <c r="F75" s="14"/>
      <c r="G75" s="14"/>
      <c r="H75" s="18"/>
      <c r="I75" s="14" t="str">
        <f t="shared" si="2"/>
        <v xml:space="preserve"> </v>
      </c>
    </row>
    <row r="76" spans="1:9" x14ac:dyDescent="0.25">
      <c r="A76" s="14"/>
      <c r="B76" s="14"/>
      <c r="C76" s="14"/>
      <c r="D76" s="32"/>
      <c r="E76" s="32"/>
      <c r="F76" s="14"/>
      <c r="G76" s="14"/>
      <c r="H76" s="18"/>
      <c r="I76" s="14" t="str">
        <f t="shared" si="2"/>
        <v xml:space="preserve"> </v>
      </c>
    </row>
    <row r="77" spans="1:9" x14ac:dyDescent="0.25">
      <c r="A77" s="14"/>
      <c r="B77" s="14"/>
      <c r="C77" s="14"/>
      <c r="D77" s="32"/>
      <c r="E77" s="32"/>
      <c r="F77" s="14"/>
      <c r="G77" s="14"/>
      <c r="H77" s="18"/>
      <c r="I77" s="14" t="str">
        <f t="shared" si="2"/>
        <v xml:space="preserve"> </v>
      </c>
    </row>
    <row r="78" spans="1:9" x14ac:dyDescent="0.25">
      <c r="A78" s="14"/>
      <c r="B78" s="14"/>
      <c r="C78" s="14"/>
      <c r="D78" s="32"/>
      <c r="E78" s="32"/>
      <c r="F78" s="14"/>
      <c r="G78" s="14"/>
      <c r="H78" s="18"/>
      <c r="I78" s="14" t="str">
        <f t="shared" si="2"/>
        <v xml:space="preserve"> </v>
      </c>
    </row>
    <row r="79" spans="1:9" x14ac:dyDescent="0.25">
      <c r="A79" s="14"/>
      <c r="B79" s="14"/>
      <c r="C79" s="14"/>
      <c r="D79" s="32"/>
      <c r="E79" s="32"/>
      <c r="F79" s="14"/>
      <c r="G79" s="14"/>
      <c r="H79" s="18"/>
      <c r="I79" s="14" t="str">
        <f t="shared" si="2"/>
        <v xml:space="preserve"> </v>
      </c>
    </row>
    <row r="80" spans="1:9" x14ac:dyDescent="0.25">
      <c r="A80" s="14"/>
      <c r="B80" s="14"/>
      <c r="C80" s="14"/>
      <c r="D80" s="32"/>
      <c r="E80" s="32"/>
      <c r="F80" s="14"/>
      <c r="G80" s="14"/>
      <c r="H80" s="18"/>
      <c r="I80" s="14" t="str">
        <f t="shared" si="2"/>
        <v xml:space="preserve"> </v>
      </c>
    </row>
    <row r="81" spans="1:9" x14ac:dyDescent="0.25">
      <c r="A81" s="14"/>
      <c r="B81" s="14"/>
      <c r="C81" s="14"/>
      <c r="D81" s="32"/>
      <c r="E81" s="32"/>
      <c r="F81" s="14"/>
      <c r="G81" s="14"/>
      <c r="H81" s="18"/>
      <c r="I81" s="14" t="str">
        <f t="shared" si="2"/>
        <v xml:space="preserve"> </v>
      </c>
    </row>
    <row r="82" spans="1:9" x14ac:dyDescent="0.25">
      <c r="A82" s="14"/>
      <c r="B82" s="14"/>
      <c r="C82" s="14"/>
      <c r="D82" s="32"/>
      <c r="E82" s="32"/>
      <c r="F82" s="14"/>
      <c r="G82" s="14"/>
      <c r="H82" s="18"/>
      <c r="I82" s="14" t="str">
        <f t="shared" si="2"/>
        <v xml:space="preserve"> </v>
      </c>
    </row>
    <row r="83" spans="1:9" x14ac:dyDescent="0.25">
      <c r="A83" s="14"/>
      <c r="B83" s="14"/>
      <c r="C83" s="14"/>
      <c r="D83" s="32"/>
      <c r="E83" s="32"/>
      <c r="F83" s="14"/>
      <c r="G83" s="14"/>
      <c r="H83" s="18"/>
      <c r="I83" s="14" t="str">
        <f t="shared" si="2"/>
        <v xml:space="preserve"> </v>
      </c>
    </row>
    <row r="84" spans="1:9" x14ac:dyDescent="0.25">
      <c r="A84" s="14"/>
      <c r="B84" s="14"/>
      <c r="C84" s="14"/>
      <c r="D84" s="32"/>
      <c r="E84" s="32"/>
      <c r="F84" s="14"/>
      <c r="G84" s="14"/>
      <c r="H84" s="18"/>
      <c r="I84" s="14" t="str">
        <f t="shared" si="2"/>
        <v xml:space="preserve"> </v>
      </c>
    </row>
    <row r="85" spans="1:9" x14ac:dyDescent="0.25">
      <c r="A85" s="14"/>
      <c r="B85" s="14"/>
      <c r="C85" s="14"/>
      <c r="D85" s="32"/>
      <c r="E85" s="32"/>
      <c r="F85" s="14"/>
      <c r="G85" s="14"/>
      <c r="H85" s="18"/>
      <c r="I85" s="14" t="str">
        <f t="shared" si="2"/>
        <v xml:space="preserve"> </v>
      </c>
    </row>
    <row r="86" spans="1:9" x14ac:dyDescent="0.25">
      <c r="A86" s="14"/>
      <c r="B86" s="14"/>
      <c r="C86" s="14"/>
      <c r="D86" s="32"/>
      <c r="E86" s="32"/>
      <c r="F86" s="14"/>
      <c r="G86" s="14"/>
      <c r="H86" s="18"/>
      <c r="I86" s="14" t="str">
        <f t="shared" si="2"/>
        <v xml:space="preserve"> </v>
      </c>
    </row>
    <row r="87" spans="1:9" x14ac:dyDescent="0.25">
      <c r="A87" s="14"/>
      <c r="B87" s="14"/>
      <c r="C87" s="14"/>
      <c r="D87" s="32"/>
      <c r="E87" s="32"/>
      <c r="F87" s="14"/>
      <c r="G87" s="14"/>
      <c r="H87" s="18"/>
      <c r="I87" s="14" t="str">
        <f t="shared" si="2"/>
        <v xml:space="preserve"> </v>
      </c>
    </row>
    <row r="88" spans="1:9" x14ac:dyDescent="0.25">
      <c r="A88" s="14"/>
      <c r="B88" s="14"/>
      <c r="C88" s="14"/>
      <c r="D88" s="32"/>
      <c r="E88" s="32"/>
      <c r="F88" s="14"/>
      <c r="G88" s="14"/>
      <c r="H88" s="18"/>
      <c r="I88" s="14" t="str">
        <f t="shared" si="2"/>
        <v xml:space="preserve"> </v>
      </c>
    </row>
    <row r="89" spans="1:9" x14ac:dyDescent="0.25">
      <c r="A89" s="14"/>
      <c r="B89" s="14"/>
      <c r="C89" s="14"/>
      <c r="D89" s="32"/>
      <c r="E89" s="32"/>
      <c r="F89" s="14"/>
      <c r="G89" s="14"/>
      <c r="H89" s="18"/>
      <c r="I89" s="14" t="str">
        <f t="shared" si="2"/>
        <v xml:space="preserve"> </v>
      </c>
    </row>
    <row r="90" spans="1:9" x14ac:dyDescent="0.25">
      <c r="A90" s="14"/>
      <c r="B90" s="14"/>
      <c r="C90" s="14"/>
      <c r="D90" s="32"/>
      <c r="E90" s="32"/>
      <c r="F90" s="14"/>
      <c r="G90" s="14"/>
      <c r="H90" s="18"/>
      <c r="I90" s="14" t="str">
        <f t="shared" si="2"/>
        <v xml:space="preserve"> </v>
      </c>
    </row>
    <row r="91" spans="1:9" x14ac:dyDescent="0.25">
      <c r="A91" s="14"/>
      <c r="B91" s="14"/>
      <c r="C91" s="14"/>
      <c r="D91" s="32"/>
      <c r="E91" s="32"/>
      <c r="F91" s="14"/>
      <c r="G91" s="14"/>
      <c r="H91" s="18"/>
      <c r="I91" s="14" t="str">
        <f t="shared" si="2"/>
        <v xml:space="preserve"> </v>
      </c>
    </row>
    <row r="92" spans="1:9" x14ac:dyDescent="0.25">
      <c r="A92" s="14"/>
      <c r="B92" s="14"/>
      <c r="C92" s="14"/>
      <c r="D92" s="32"/>
      <c r="E92" s="32"/>
      <c r="F92" s="14"/>
      <c r="G92" s="14"/>
      <c r="H92" s="18"/>
      <c r="I92" s="14" t="str">
        <f t="shared" si="2"/>
        <v xml:space="preserve"> </v>
      </c>
    </row>
    <row r="93" spans="1:9" x14ac:dyDescent="0.25">
      <c r="A93" s="14"/>
      <c r="B93" s="14"/>
      <c r="C93" s="14"/>
      <c r="D93" s="32"/>
      <c r="E93" s="32"/>
      <c r="F93" s="14"/>
      <c r="G93" s="14"/>
      <c r="H93" s="18"/>
      <c r="I93" s="14" t="str">
        <f t="shared" si="2"/>
        <v xml:space="preserve"> </v>
      </c>
    </row>
    <row r="94" spans="1:9" x14ac:dyDescent="0.25">
      <c r="A94" s="14"/>
      <c r="B94" s="14"/>
      <c r="C94" s="14"/>
      <c r="D94" s="32"/>
      <c r="E94" s="32"/>
      <c r="F94" s="14"/>
      <c r="G94" s="14"/>
      <c r="H94" s="18"/>
      <c r="I94" s="14" t="str">
        <f t="shared" si="2"/>
        <v xml:space="preserve"> </v>
      </c>
    </row>
    <row r="95" spans="1:9" x14ac:dyDescent="0.25">
      <c r="A95" s="14"/>
      <c r="B95" s="14"/>
      <c r="C95" s="14"/>
      <c r="D95" s="32"/>
      <c r="E95" s="32"/>
      <c r="F95" s="14"/>
      <c r="G95" s="14"/>
      <c r="H95" s="18"/>
      <c r="I95" s="14" t="str">
        <f t="shared" si="2"/>
        <v xml:space="preserve"> </v>
      </c>
    </row>
    <row r="96" spans="1:9" x14ac:dyDescent="0.25">
      <c r="A96" s="14"/>
      <c r="B96" s="14"/>
      <c r="C96" s="14"/>
      <c r="D96" s="32"/>
      <c r="E96" s="32"/>
      <c r="F96" s="14"/>
      <c r="G96" s="14"/>
      <c r="H96" s="18"/>
      <c r="I96" s="14" t="str">
        <f t="shared" si="2"/>
        <v xml:space="preserve"> </v>
      </c>
    </row>
    <row r="97" spans="1:9" x14ac:dyDescent="0.25">
      <c r="A97" s="14"/>
      <c r="B97" s="14"/>
      <c r="C97" s="14"/>
      <c r="D97" s="32"/>
      <c r="E97" s="32"/>
      <c r="F97" s="14"/>
      <c r="G97" s="14"/>
      <c r="H97" s="18"/>
      <c r="I97" s="14" t="str">
        <f t="shared" si="2"/>
        <v xml:space="preserve"> </v>
      </c>
    </row>
    <row r="98" spans="1:9" x14ac:dyDescent="0.25">
      <c r="A98" s="14"/>
      <c r="B98" s="14"/>
      <c r="C98" s="14"/>
      <c r="D98" s="32"/>
      <c r="E98" s="32"/>
      <c r="F98" s="14"/>
      <c r="G98" s="14"/>
      <c r="H98" s="18"/>
      <c r="I98" s="14" t="str">
        <f t="shared" si="2"/>
        <v xml:space="preserve"> </v>
      </c>
    </row>
    <row r="99" spans="1:9" x14ac:dyDescent="0.25">
      <c r="A99" s="14"/>
      <c r="B99" s="14"/>
      <c r="C99" s="14"/>
      <c r="D99" s="32"/>
      <c r="E99" s="32"/>
      <c r="F99" s="14"/>
      <c r="G99" s="14"/>
      <c r="H99" s="18"/>
      <c r="I99" s="14" t="str">
        <f t="shared" si="2"/>
        <v xml:space="preserve"> </v>
      </c>
    </row>
    <row r="100" spans="1:9" x14ac:dyDescent="0.25">
      <c r="A100" s="14"/>
      <c r="B100" s="14"/>
      <c r="C100" s="14"/>
      <c r="D100" s="32"/>
      <c r="E100" s="32"/>
      <c r="F100" s="14"/>
      <c r="G100" s="14"/>
      <c r="H100" s="18"/>
      <c r="I100" s="14" t="str">
        <f t="shared" si="2"/>
        <v xml:space="preserve"> </v>
      </c>
    </row>
    <row r="101" spans="1:9" x14ac:dyDescent="0.25">
      <c r="A101" s="14"/>
      <c r="B101" s="14"/>
      <c r="C101" s="14"/>
      <c r="D101" s="32"/>
      <c r="E101" s="32"/>
      <c r="F101" s="14"/>
      <c r="G101" s="14"/>
      <c r="H101" s="18"/>
      <c r="I101" s="14" t="str">
        <f t="shared" si="2"/>
        <v xml:space="preserve"> </v>
      </c>
    </row>
    <row r="102" spans="1:9" x14ac:dyDescent="0.25">
      <c r="A102" s="14"/>
      <c r="B102" s="14"/>
      <c r="C102" s="14"/>
      <c r="D102" s="32"/>
      <c r="E102" s="32"/>
      <c r="F102" s="14"/>
      <c r="G102" s="14"/>
      <c r="H102" s="18"/>
      <c r="I102" s="14" t="str">
        <f t="shared" si="2"/>
        <v xml:space="preserve"> </v>
      </c>
    </row>
    <row r="103" spans="1:9" x14ac:dyDescent="0.25">
      <c r="A103" s="14"/>
      <c r="B103" s="14"/>
      <c r="C103" s="14"/>
      <c r="D103" s="32"/>
      <c r="E103" s="32"/>
      <c r="F103" s="14"/>
      <c r="G103" s="14"/>
      <c r="H103" s="18"/>
      <c r="I103" s="14" t="str">
        <f t="shared" si="2"/>
        <v xml:space="preserve"> </v>
      </c>
    </row>
    <row r="104" spans="1:9" x14ac:dyDescent="0.25">
      <c r="A104" s="14"/>
      <c r="B104" s="14"/>
      <c r="C104" s="14"/>
      <c r="D104" s="32"/>
      <c r="E104" s="32"/>
      <c r="F104" s="14"/>
      <c r="G104" s="14"/>
      <c r="H104" s="18"/>
      <c r="I104" s="14" t="str">
        <f t="shared" si="2"/>
        <v xml:space="preserve"> </v>
      </c>
    </row>
    <row r="105" spans="1:9" x14ac:dyDescent="0.25">
      <c r="A105" s="14"/>
      <c r="B105" s="14"/>
      <c r="C105" s="14"/>
      <c r="D105" s="32"/>
      <c r="E105" s="32"/>
      <c r="F105" s="14"/>
      <c r="G105" s="14"/>
      <c r="H105" s="18"/>
      <c r="I105" s="14" t="str">
        <f t="shared" si="2"/>
        <v xml:space="preserve"> </v>
      </c>
    </row>
    <row r="106" spans="1:9" x14ac:dyDescent="0.25">
      <c r="A106" s="14"/>
      <c r="B106" s="14"/>
      <c r="C106" s="14"/>
      <c r="D106" s="32"/>
      <c r="E106" s="32"/>
      <c r="F106" s="14"/>
      <c r="G106" s="14"/>
      <c r="H106" s="18"/>
      <c r="I106" s="14" t="str">
        <f t="shared" si="2"/>
        <v xml:space="preserve"> </v>
      </c>
    </row>
    <row r="107" spans="1:9" x14ac:dyDescent="0.25">
      <c r="A107" s="14"/>
      <c r="B107" s="14"/>
      <c r="C107" s="14"/>
      <c r="D107" s="32"/>
      <c r="E107" s="32"/>
      <c r="F107" s="14"/>
      <c r="G107" s="14"/>
      <c r="H107" s="18"/>
      <c r="I107" s="14" t="str">
        <f t="shared" si="2"/>
        <v xml:space="preserve"> </v>
      </c>
    </row>
    <row r="108" spans="1:9" x14ac:dyDescent="0.25">
      <c r="A108" s="14"/>
      <c r="B108" s="14"/>
      <c r="C108" s="14"/>
      <c r="D108" s="32"/>
      <c r="E108" s="32"/>
      <c r="F108" s="14"/>
      <c r="G108" s="14"/>
      <c r="H108" s="18"/>
      <c r="I108" s="14" t="str">
        <f t="shared" si="2"/>
        <v xml:space="preserve"> </v>
      </c>
    </row>
    <row r="109" spans="1:9" x14ac:dyDescent="0.25">
      <c r="A109" s="14"/>
      <c r="B109" s="14"/>
      <c r="C109" s="14"/>
      <c r="D109" s="32"/>
      <c r="E109" s="32"/>
      <c r="F109" s="14"/>
      <c r="G109" s="14"/>
      <c r="H109" s="18"/>
      <c r="I109" s="14" t="str">
        <f t="shared" si="2"/>
        <v xml:space="preserve"> </v>
      </c>
    </row>
    <row r="110" spans="1:9" x14ac:dyDescent="0.25">
      <c r="A110" s="14"/>
      <c r="B110" s="14"/>
      <c r="C110" s="14"/>
      <c r="D110" s="32"/>
      <c r="E110" s="32"/>
      <c r="F110" s="14"/>
      <c r="G110" s="14"/>
      <c r="H110" s="18"/>
      <c r="I110" s="14" t="str">
        <f t="shared" si="2"/>
        <v xml:space="preserve"> </v>
      </c>
    </row>
    <row r="111" spans="1:9" x14ac:dyDescent="0.25">
      <c r="A111" s="14"/>
      <c r="B111" s="14"/>
      <c r="C111" s="14"/>
      <c r="D111" s="32"/>
      <c r="E111" s="32"/>
      <c r="F111" s="14"/>
      <c r="G111" s="14"/>
      <c r="H111" s="18"/>
      <c r="I111" s="14" t="str">
        <f t="shared" si="2"/>
        <v xml:space="preserve"> </v>
      </c>
    </row>
    <row r="112" spans="1:9" x14ac:dyDescent="0.25">
      <c r="A112" s="14"/>
      <c r="B112" s="14"/>
      <c r="C112" s="14"/>
      <c r="D112" s="32"/>
      <c r="E112" s="32"/>
      <c r="F112" s="14"/>
      <c r="G112" s="14"/>
      <c r="H112" s="18"/>
      <c r="I112" s="14" t="str">
        <f t="shared" si="2"/>
        <v xml:space="preserve"> </v>
      </c>
    </row>
    <row r="113" spans="1:9" x14ac:dyDescent="0.25">
      <c r="A113" s="14"/>
      <c r="B113" s="14"/>
      <c r="C113" s="14"/>
      <c r="D113" s="32"/>
      <c r="E113" s="32"/>
      <c r="F113" s="14"/>
      <c r="G113" s="14"/>
      <c r="H113" s="18"/>
      <c r="I113" s="14" t="str">
        <f t="shared" si="2"/>
        <v xml:space="preserve"> </v>
      </c>
    </row>
    <row r="114" spans="1:9" x14ac:dyDescent="0.25">
      <c r="A114" s="14"/>
      <c r="B114" s="14"/>
      <c r="C114" s="14"/>
      <c r="D114" s="32"/>
      <c r="E114" s="32"/>
      <c r="F114" s="14"/>
      <c r="G114" s="14"/>
      <c r="H114" s="18"/>
      <c r="I114" s="14" t="str">
        <f t="shared" si="2"/>
        <v xml:space="preserve"> </v>
      </c>
    </row>
    <row r="115" spans="1:9" x14ac:dyDescent="0.25">
      <c r="A115" s="14"/>
      <c r="B115" s="14"/>
      <c r="C115" s="14"/>
      <c r="D115" s="32"/>
      <c r="E115" s="32"/>
      <c r="F115" s="14"/>
      <c r="G115" s="14"/>
      <c r="H115" s="18"/>
      <c r="I115" s="14" t="str">
        <f t="shared" si="2"/>
        <v xml:space="preserve"> </v>
      </c>
    </row>
    <row r="116" spans="1:9" x14ac:dyDescent="0.25">
      <c r="A116" s="14"/>
      <c r="B116" s="14"/>
      <c r="C116" s="14"/>
      <c r="D116" s="32"/>
      <c r="E116" s="32"/>
      <c r="F116" s="14"/>
      <c r="G116" s="14"/>
      <c r="H116" s="18"/>
      <c r="I116" s="14" t="str">
        <f t="shared" si="2"/>
        <v xml:space="preserve"> </v>
      </c>
    </row>
    <row r="117" spans="1:9" x14ac:dyDescent="0.25">
      <c r="A117" s="14"/>
      <c r="B117" s="14"/>
      <c r="C117" s="14"/>
      <c r="D117" s="32"/>
      <c r="E117" s="32"/>
      <c r="F117" s="14"/>
      <c r="G117" s="14"/>
      <c r="H117" s="18"/>
      <c r="I117" s="14" t="str">
        <f t="shared" si="2"/>
        <v xml:space="preserve"> </v>
      </c>
    </row>
    <row r="118" spans="1:9" x14ac:dyDescent="0.25">
      <c r="A118" s="14"/>
      <c r="B118" s="14"/>
      <c r="C118" s="14"/>
      <c r="D118" s="32"/>
      <c r="E118" s="32"/>
      <c r="F118" s="14"/>
      <c r="G118" s="14"/>
      <c r="H118" s="18"/>
      <c r="I118" s="14" t="str">
        <f t="shared" si="2"/>
        <v xml:space="preserve"> </v>
      </c>
    </row>
    <row r="119" spans="1:9" x14ac:dyDescent="0.25">
      <c r="A119" s="14"/>
      <c r="B119" s="14"/>
      <c r="C119" s="14"/>
      <c r="D119" s="32"/>
      <c r="E119" s="32"/>
      <c r="F119" s="14"/>
      <c r="G119" s="14"/>
      <c r="H119" s="18"/>
      <c r="I119" s="14" t="str">
        <f t="shared" si="2"/>
        <v xml:space="preserve"> </v>
      </c>
    </row>
    <row r="120" spans="1:9" x14ac:dyDescent="0.25">
      <c r="A120" s="14"/>
      <c r="B120" s="14"/>
      <c r="C120" s="14"/>
      <c r="D120" s="32"/>
      <c r="E120" s="32"/>
      <c r="F120" s="14"/>
      <c r="G120" s="14"/>
      <c r="H120" s="18"/>
      <c r="I120" s="14" t="str">
        <f t="shared" si="2"/>
        <v xml:space="preserve"> </v>
      </c>
    </row>
    <row r="121" spans="1:9" x14ac:dyDescent="0.25">
      <c r="A121" s="14"/>
      <c r="B121" s="14"/>
      <c r="C121" s="14"/>
      <c r="D121" s="32"/>
      <c r="E121" s="32"/>
      <c r="F121" s="14"/>
      <c r="G121" s="14"/>
      <c r="H121" s="18"/>
      <c r="I121" s="14" t="str">
        <f t="shared" si="2"/>
        <v xml:space="preserve"> </v>
      </c>
    </row>
    <row r="122" spans="1:9" x14ac:dyDescent="0.25">
      <c r="A122" s="14"/>
      <c r="B122" s="14"/>
      <c r="C122" s="14"/>
      <c r="D122" s="32"/>
      <c r="E122" s="32"/>
      <c r="F122" s="14"/>
      <c r="G122" s="14"/>
      <c r="H122" s="18"/>
      <c r="I122" s="14" t="str">
        <f t="shared" si="2"/>
        <v xml:space="preserve"> </v>
      </c>
    </row>
    <row r="123" spans="1:9" x14ac:dyDescent="0.25">
      <c r="A123" s="14"/>
      <c r="B123" s="14"/>
      <c r="C123" s="14"/>
      <c r="D123" s="32"/>
      <c r="E123" s="32"/>
      <c r="F123" s="14"/>
      <c r="G123" s="14"/>
      <c r="H123" s="18"/>
      <c r="I123" s="14" t="str">
        <f t="shared" si="2"/>
        <v xml:space="preserve"> </v>
      </c>
    </row>
    <row r="124" spans="1:9" x14ac:dyDescent="0.25">
      <c r="A124" s="14"/>
      <c r="B124" s="14"/>
      <c r="C124" s="14"/>
      <c r="D124" s="32"/>
      <c r="E124" s="32"/>
      <c r="F124" s="14"/>
      <c r="G124" s="14"/>
      <c r="H124" s="18"/>
      <c r="I124" s="14" t="str">
        <f t="shared" si="2"/>
        <v xml:space="preserve"> </v>
      </c>
    </row>
    <row r="125" spans="1:9" x14ac:dyDescent="0.25">
      <c r="A125" s="14"/>
      <c r="B125" s="14"/>
      <c r="C125" s="14"/>
      <c r="D125" s="32"/>
      <c r="E125" s="32"/>
      <c r="F125" s="14"/>
      <c r="G125" s="14"/>
      <c r="H125" s="18"/>
      <c r="I125" s="14" t="str">
        <f t="shared" si="2"/>
        <v xml:space="preserve"> </v>
      </c>
    </row>
    <row r="126" spans="1:9" x14ac:dyDescent="0.25">
      <c r="A126" s="14"/>
      <c r="B126" s="14"/>
      <c r="C126" s="14"/>
      <c r="D126" s="32"/>
      <c r="E126" s="32"/>
      <c r="F126" s="14"/>
      <c r="G126" s="14"/>
      <c r="H126" s="18"/>
      <c r="I126" s="14" t="str">
        <f t="shared" si="2"/>
        <v xml:space="preserve"> </v>
      </c>
    </row>
    <row r="127" spans="1:9" x14ac:dyDescent="0.25">
      <c r="A127" s="14"/>
      <c r="B127" s="14"/>
      <c r="C127" s="14"/>
      <c r="D127" s="32"/>
      <c r="E127" s="32"/>
      <c r="F127" s="14"/>
      <c r="G127" s="14"/>
      <c r="H127" s="18"/>
      <c r="I127" s="14" t="str">
        <f t="shared" si="2"/>
        <v xml:space="preserve"> </v>
      </c>
    </row>
    <row r="128" spans="1:9" x14ac:dyDescent="0.25">
      <c r="A128" s="14"/>
      <c r="B128" s="14"/>
      <c r="C128" s="14"/>
      <c r="D128" s="32"/>
      <c r="E128" s="32"/>
      <c r="F128" s="14"/>
      <c r="G128" s="14"/>
      <c r="H128" s="18"/>
      <c r="I128" s="14" t="str">
        <f t="shared" si="2"/>
        <v xml:space="preserve"> </v>
      </c>
    </row>
    <row r="129" spans="1:9" x14ac:dyDescent="0.25">
      <c r="A129" s="14"/>
      <c r="B129" s="14"/>
      <c r="C129" s="14"/>
      <c r="D129" s="32"/>
      <c r="E129" s="32"/>
      <c r="F129" s="14"/>
      <c r="G129" s="14"/>
      <c r="H129" s="18"/>
      <c r="I129" s="14" t="str">
        <f t="shared" si="2"/>
        <v xml:space="preserve"> </v>
      </c>
    </row>
    <row r="130" spans="1:9" x14ac:dyDescent="0.25">
      <c r="A130" s="14"/>
      <c r="B130" s="14"/>
      <c r="C130" s="14"/>
      <c r="D130" s="32"/>
      <c r="E130" s="32"/>
      <c r="F130" s="14"/>
      <c r="G130" s="14"/>
      <c r="H130" s="18"/>
      <c r="I130" s="14" t="str">
        <f t="shared" si="2"/>
        <v xml:space="preserve"> </v>
      </c>
    </row>
    <row r="131" spans="1:9" x14ac:dyDescent="0.25">
      <c r="A131" s="14"/>
      <c r="B131" s="14"/>
      <c r="C131" s="14"/>
      <c r="D131" s="32"/>
      <c r="E131" s="32"/>
      <c r="F131" s="14"/>
      <c r="G131" s="14"/>
      <c r="H131" s="18"/>
      <c r="I131" s="14" t="str">
        <f t="shared" si="2"/>
        <v xml:space="preserve"> </v>
      </c>
    </row>
    <row r="132" spans="1:9" x14ac:dyDescent="0.25">
      <c r="A132" s="14"/>
      <c r="B132" s="14"/>
      <c r="C132" s="14"/>
      <c r="D132" s="32"/>
      <c r="E132" s="32"/>
      <c r="F132" s="14"/>
      <c r="G132" s="14"/>
      <c r="H132" s="18"/>
      <c r="I132" s="14" t="str">
        <f t="shared" si="2"/>
        <v xml:space="preserve"> </v>
      </c>
    </row>
    <row r="133" spans="1:9" x14ac:dyDescent="0.25">
      <c r="A133" s="14"/>
      <c r="B133" s="14"/>
      <c r="C133" s="14"/>
      <c r="D133" s="32"/>
      <c r="E133" s="32"/>
      <c r="F133" s="14"/>
      <c r="G133" s="14"/>
      <c r="H133" s="18"/>
      <c r="I133" s="14" t="str">
        <f t="shared" si="2"/>
        <v xml:space="preserve"> </v>
      </c>
    </row>
    <row r="134" spans="1:9" x14ac:dyDescent="0.25">
      <c r="A134" s="14"/>
      <c r="B134" s="14"/>
      <c r="C134" s="14"/>
      <c r="D134" s="32"/>
      <c r="E134" s="32"/>
      <c r="F134" s="14"/>
      <c r="G134" s="14"/>
      <c r="H134" s="18"/>
      <c r="I134" s="14" t="str">
        <f t="shared" ref="I134:I197" si="3">B134 &amp; " " &amp; C134</f>
        <v xml:space="preserve"> </v>
      </c>
    </row>
    <row r="135" spans="1:9" x14ac:dyDescent="0.25">
      <c r="A135" s="14"/>
      <c r="B135" s="14"/>
      <c r="C135" s="14"/>
      <c r="D135" s="32"/>
      <c r="E135" s="32"/>
      <c r="F135" s="14"/>
      <c r="G135" s="14"/>
      <c r="H135" s="18"/>
      <c r="I135" s="14" t="str">
        <f t="shared" si="3"/>
        <v xml:space="preserve"> </v>
      </c>
    </row>
    <row r="136" spans="1:9" x14ac:dyDescent="0.25">
      <c r="A136" s="14"/>
      <c r="B136" s="14"/>
      <c r="C136" s="14"/>
      <c r="D136" s="32"/>
      <c r="E136" s="32"/>
      <c r="F136" s="14"/>
      <c r="G136" s="14"/>
      <c r="H136" s="18"/>
      <c r="I136" s="14" t="str">
        <f t="shared" si="3"/>
        <v xml:space="preserve"> </v>
      </c>
    </row>
    <row r="137" spans="1:9" x14ac:dyDescent="0.25">
      <c r="A137" s="14"/>
      <c r="B137" s="14"/>
      <c r="C137" s="14"/>
      <c r="D137" s="32"/>
      <c r="E137" s="32"/>
      <c r="F137" s="14"/>
      <c r="G137" s="14"/>
      <c r="H137" s="18"/>
      <c r="I137" s="14" t="str">
        <f t="shared" si="3"/>
        <v xml:space="preserve"> </v>
      </c>
    </row>
    <row r="138" spans="1:9" x14ac:dyDescent="0.25">
      <c r="A138" s="14"/>
      <c r="B138" s="14"/>
      <c r="C138" s="14"/>
      <c r="D138" s="32"/>
      <c r="E138" s="32"/>
      <c r="F138" s="14"/>
      <c r="G138" s="14"/>
      <c r="H138" s="18"/>
      <c r="I138" s="14" t="str">
        <f t="shared" si="3"/>
        <v xml:space="preserve"> </v>
      </c>
    </row>
    <row r="139" spans="1:9" x14ac:dyDescent="0.25">
      <c r="A139" s="14"/>
      <c r="B139" s="14"/>
      <c r="C139" s="14"/>
      <c r="D139" s="32"/>
      <c r="E139" s="32"/>
      <c r="F139" s="14"/>
      <c r="G139" s="14"/>
      <c r="H139" s="18"/>
      <c r="I139" s="14" t="str">
        <f t="shared" si="3"/>
        <v xml:space="preserve"> </v>
      </c>
    </row>
    <row r="140" spans="1:9" x14ac:dyDescent="0.25">
      <c r="A140" s="14"/>
      <c r="B140" s="14"/>
      <c r="C140" s="14"/>
      <c r="D140" s="32"/>
      <c r="E140" s="32"/>
      <c r="F140" s="14"/>
      <c r="G140" s="14"/>
      <c r="H140" s="18"/>
      <c r="I140" s="14" t="str">
        <f t="shared" si="3"/>
        <v xml:space="preserve"> </v>
      </c>
    </row>
    <row r="141" spans="1:9" x14ac:dyDescent="0.25">
      <c r="A141" s="14"/>
      <c r="B141" s="14"/>
      <c r="C141" s="14"/>
      <c r="D141" s="32"/>
      <c r="E141" s="32"/>
      <c r="F141" s="14"/>
      <c r="G141" s="14"/>
      <c r="H141" s="18"/>
      <c r="I141" s="14" t="str">
        <f t="shared" si="3"/>
        <v xml:space="preserve"> </v>
      </c>
    </row>
    <row r="142" spans="1:9" x14ac:dyDescent="0.25">
      <c r="A142" s="14"/>
      <c r="B142" s="14"/>
      <c r="C142" s="14"/>
      <c r="D142" s="32"/>
      <c r="E142" s="32"/>
      <c r="F142" s="14"/>
      <c r="G142" s="14"/>
      <c r="H142" s="18"/>
      <c r="I142" s="14" t="str">
        <f t="shared" si="3"/>
        <v xml:space="preserve"> </v>
      </c>
    </row>
    <row r="143" spans="1:9" x14ac:dyDescent="0.25">
      <c r="A143" s="14"/>
      <c r="B143" s="14"/>
      <c r="C143" s="14"/>
      <c r="D143" s="32"/>
      <c r="E143" s="32"/>
      <c r="F143" s="14"/>
      <c r="G143" s="14"/>
      <c r="H143" s="18"/>
      <c r="I143" s="14" t="str">
        <f t="shared" si="3"/>
        <v xml:space="preserve"> </v>
      </c>
    </row>
    <row r="144" spans="1:9" x14ac:dyDescent="0.25">
      <c r="A144" s="14"/>
      <c r="B144" s="14"/>
      <c r="C144" s="14"/>
      <c r="D144" s="32"/>
      <c r="E144" s="32"/>
      <c r="F144" s="14"/>
      <c r="G144" s="14"/>
      <c r="H144" s="18"/>
      <c r="I144" s="14" t="str">
        <f t="shared" si="3"/>
        <v xml:space="preserve"> </v>
      </c>
    </row>
    <row r="145" spans="1:9" x14ac:dyDescent="0.25">
      <c r="A145" s="14"/>
      <c r="B145" s="14"/>
      <c r="C145" s="14"/>
      <c r="D145" s="32"/>
      <c r="E145" s="32"/>
      <c r="F145" s="14"/>
      <c r="G145" s="14"/>
      <c r="H145" s="18"/>
      <c r="I145" s="14" t="str">
        <f t="shared" si="3"/>
        <v xml:space="preserve"> </v>
      </c>
    </row>
    <row r="146" spans="1:9" x14ac:dyDescent="0.25">
      <c r="A146" s="14"/>
      <c r="B146" s="14"/>
      <c r="C146" s="14"/>
      <c r="D146" s="32"/>
      <c r="E146" s="32"/>
      <c r="F146" s="14"/>
      <c r="G146" s="14"/>
      <c r="H146" s="18"/>
      <c r="I146" s="14" t="str">
        <f t="shared" si="3"/>
        <v xml:space="preserve"> </v>
      </c>
    </row>
    <row r="147" spans="1:9" x14ac:dyDescent="0.25">
      <c r="A147" s="14"/>
      <c r="B147" s="14"/>
      <c r="C147" s="14"/>
      <c r="D147" s="32"/>
      <c r="E147" s="32"/>
      <c r="F147" s="14"/>
      <c r="G147" s="14"/>
      <c r="H147" s="18"/>
      <c r="I147" s="14" t="str">
        <f t="shared" si="3"/>
        <v xml:space="preserve"> </v>
      </c>
    </row>
    <row r="148" spans="1:9" x14ac:dyDescent="0.25">
      <c r="A148" s="14"/>
      <c r="B148" s="14"/>
      <c r="C148" s="14"/>
      <c r="D148" s="32"/>
      <c r="E148" s="32"/>
      <c r="F148" s="14"/>
      <c r="G148" s="14"/>
      <c r="H148" s="18"/>
      <c r="I148" s="14" t="str">
        <f t="shared" si="3"/>
        <v xml:space="preserve"> </v>
      </c>
    </row>
    <row r="149" spans="1:9" x14ac:dyDescent="0.25">
      <c r="A149" s="14"/>
      <c r="B149" s="14"/>
      <c r="C149" s="14"/>
      <c r="D149" s="32"/>
      <c r="E149" s="32"/>
      <c r="F149" s="14"/>
      <c r="G149" s="14"/>
      <c r="H149" s="18"/>
      <c r="I149" s="14" t="str">
        <f t="shared" si="3"/>
        <v xml:space="preserve"> </v>
      </c>
    </row>
    <row r="150" spans="1:9" x14ac:dyDescent="0.25">
      <c r="A150" s="14"/>
      <c r="B150" s="14"/>
      <c r="C150" s="14"/>
      <c r="D150" s="32"/>
      <c r="E150" s="32"/>
      <c r="F150" s="14"/>
      <c r="G150" s="14"/>
      <c r="H150" s="18"/>
      <c r="I150" s="14" t="str">
        <f t="shared" si="3"/>
        <v xml:space="preserve"> </v>
      </c>
    </row>
    <row r="151" spans="1:9" x14ac:dyDescent="0.25">
      <c r="A151" s="14"/>
      <c r="B151" s="14"/>
      <c r="C151" s="14"/>
      <c r="D151" s="32"/>
      <c r="E151" s="32"/>
      <c r="F151" s="14"/>
      <c r="G151" s="14"/>
      <c r="H151" s="18"/>
      <c r="I151" s="14" t="str">
        <f t="shared" si="3"/>
        <v xml:space="preserve"> </v>
      </c>
    </row>
    <row r="152" spans="1:9" x14ac:dyDescent="0.25">
      <c r="A152" s="14"/>
      <c r="B152" s="14"/>
      <c r="C152" s="14"/>
      <c r="D152" s="32"/>
      <c r="E152" s="32"/>
      <c r="F152" s="14"/>
      <c r="G152" s="14"/>
      <c r="H152" s="18"/>
      <c r="I152" s="14" t="str">
        <f t="shared" si="3"/>
        <v xml:space="preserve"> </v>
      </c>
    </row>
    <row r="153" spans="1:9" x14ac:dyDescent="0.25">
      <c r="A153" s="14"/>
      <c r="B153" s="14"/>
      <c r="C153" s="14"/>
      <c r="D153" s="32"/>
      <c r="E153" s="32"/>
      <c r="F153" s="14"/>
      <c r="G153" s="14"/>
      <c r="H153" s="18"/>
      <c r="I153" s="14" t="str">
        <f t="shared" si="3"/>
        <v xml:space="preserve"> </v>
      </c>
    </row>
    <row r="154" spans="1:9" x14ac:dyDescent="0.25">
      <c r="A154" s="14"/>
      <c r="B154" s="14"/>
      <c r="C154" s="14"/>
      <c r="D154" s="32"/>
      <c r="E154" s="32"/>
      <c r="F154" s="14"/>
      <c r="G154" s="14"/>
      <c r="H154" s="18"/>
      <c r="I154" s="14" t="str">
        <f t="shared" si="3"/>
        <v xml:space="preserve"> </v>
      </c>
    </row>
    <row r="155" spans="1:9" x14ac:dyDescent="0.25">
      <c r="A155" s="14"/>
      <c r="B155" s="14"/>
      <c r="C155" s="14"/>
      <c r="D155" s="32"/>
      <c r="E155" s="32"/>
      <c r="F155" s="14"/>
      <c r="G155" s="14"/>
      <c r="H155" s="18"/>
      <c r="I155" s="14" t="str">
        <f t="shared" si="3"/>
        <v xml:space="preserve"> </v>
      </c>
    </row>
    <row r="156" spans="1:9" x14ac:dyDescent="0.25">
      <c r="A156" s="14"/>
      <c r="B156" s="14"/>
      <c r="C156" s="14"/>
      <c r="D156" s="32"/>
      <c r="E156" s="32"/>
      <c r="F156" s="14"/>
      <c r="G156" s="14"/>
      <c r="H156" s="18"/>
      <c r="I156" s="14" t="str">
        <f t="shared" si="3"/>
        <v xml:space="preserve"> </v>
      </c>
    </row>
    <row r="157" spans="1:9" x14ac:dyDescent="0.25">
      <c r="A157" s="14"/>
      <c r="B157" s="14"/>
      <c r="C157" s="14"/>
      <c r="D157" s="32"/>
      <c r="E157" s="32"/>
      <c r="F157" s="14"/>
      <c r="G157" s="14"/>
      <c r="H157" s="18"/>
      <c r="I157" s="14" t="str">
        <f t="shared" si="3"/>
        <v xml:space="preserve"> </v>
      </c>
    </row>
    <row r="158" spans="1:9" x14ac:dyDescent="0.25">
      <c r="A158" s="14"/>
      <c r="B158" s="14"/>
      <c r="C158" s="14"/>
      <c r="D158" s="32"/>
      <c r="E158" s="32"/>
      <c r="F158" s="14"/>
      <c r="G158" s="14"/>
      <c r="H158" s="18"/>
      <c r="I158" s="14" t="str">
        <f t="shared" si="3"/>
        <v xml:space="preserve"> </v>
      </c>
    </row>
    <row r="159" spans="1:9" x14ac:dyDescent="0.25">
      <c r="A159" s="14"/>
      <c r="B159" s="14"/>
      <c r="C159" s="14"/>
      <c r="D159" s="32"/>
      <c r="E159" s="32"/>
      <c r="F159" s="14"/>
      <c r="G159" s="14"/>
      <c r="H159" s="18"/>
      <c r="I159" s="14" t="str">
        <f t="shared" si="3"/>
        <v xml:space="preserve"> </v>
      </c>
    </row>
    <row r="160" spans="1:9" x14ac:dyDescent="0.25">
      <c r="A160" s="14"/>
      <c r="B160" s="14"/>
      <c r="C160" s="14"/>
      <c r="D160" s="32"/>
      <c r="E160" s="32"/>
      <c r="F160" s="14"/>
      <c r="G160" s="14"/>
      <c r="H160" s="18"/>
      <c r="I160" s="14" t="str">
        <f t="shared" si="3"/>
        <v xml:space="preserve"> </v>
      </c>
    </row>
    <row r="161" spans="1:9" x14ac:dyDescent="0.25">
      <c r="A161" s="14"/>
      <c r="B161" s="14"/>
      <c r="C161" s="14"/>
      <c r="D161" s="32"/>
      <c r="E161" s="32"/>
      <c r="F161" s="14"/>
      <c r="G161" s="14"/>
      <c r="H161" s="18"/>
      <c r="I161" s="14" t="str">
        <f t="shared" si="3"/>
        <v xml:space="preserve"> </v>
      </c>
    </row>
    <row r="162" spans="1:9" x14ac:dyDescent="0.25">
      <c r="A162" s="14"/>
      <c r="B162" s="14"/>
      <c r="C162" s="14"/>
      <c r="D162" s="32"/>
      <c r="E162" s="32"/>
      <c r="F162" s="14"/>
      <c r="G162" s="14"/>
      <c r="H162" s="18"/>
      <c r="I162" s="14" t="str">
        <f t="shared" si="3"/>
        <v xml:space="preserve"> </v>
      </c>
    </row>
    <row r="163" spans="1:9" x14ac:dyDescent="0.25">
      <c r="A163" s="14"/>
      <c r="B163" s="14"/>
      <c r="C163" s="14"/>
      <c r="D163" s="32"/>
      <c r="E163" s="32"/>
      <c r="F163" s="14"/>
      <c r="G163" s="14"/>
      <c r="H163" s="18"/>
      <c r="I163" s="14" t="str">
        <f t="shared" si="3"/>
        <v xml:space="preserve"> </v>
      </c>
    </row>
    <row r="164" spans="1:9" x14ac:dyDescent="0.25">
      <c r="A164" s="14"/>
      <c r="B164" s="14"/>
      <c r="C164" s="14"/>
      <c r="D164" s="32"/>
      <c r="E164" s="32"/>
      <c r="F164" s="14"/>
      <c r="G164" s="14"/>
      <c r="H164" s="18"/>
      <c r="I164" s="14" t="str">
        <f t="shared" si="3"/>
        <v xml:space="preserve"> </v>
      </c>
    </row>
    <row r="165" spans="1:9" x14ac:dyDescent="0.25">
      <c r="A165" s="14"/>
      <c r="B165" s="14"/>
      <c r="C165" s="14"/>
      <c r="D165" s="32"/>
      <c r="E165" s="32"/>
      <c r="F165" s="14"/>
      <c r="G165" s="14"/>
      <c r="H165" s="18"/>
      <c r="I165" s="14" t="str">
        <f t="shared" si="3"/>
        <v xml:space="preserve"> </v>
      </c>
    </row>
    <row r="166" spans="1:9" x14ac:dyDescent="0.25">
      <c r="A166" s="14"/>
      <c r="B166" s="14"/>
      <c r="C166" s="14"/>
      <c r="D166" s="32"/>
      <c r="E166" s="32"/>
      <c r="F166" s="14"/>
      <c r="G166" s="14"/>
      <c r="H166" s="18"/>
      <c r="I166" s="14" t="str">
        <f t="shared" si="3"/>
        <v xml:space="preserve"> </v>
      </c>
    </row>
    <row r="167" spans="1:9" x14ac:dyDescent="0.25">
      <c r="A167" s="14"/>
      <c r="B167" s="14"/>
      <c r="C167" s="14"/>
      <c r="D167" s="32"/>
      <c r="E167" s="32"/>
      <c r="F167" s="14"/>
      <c r="G167" s="14"/>
      <c r="H167" s="18"/>
      <c r="I167" s="14" t="str">
        <f t="shared" si="3"/>
        <v xml:space="preserve"> </v>
      </c>
    </row>
    <row r="168" spans="1:9" x14ac:dyDescent="0.25">
      <c r="A168" s="14"/>
      <c r="B168" s="14"/>
      <c r="C168" s="14"/>
      <c r="D168" s="32"/>
      <c r="E168" s="32"/>
      <c r="F168" s="14"/>
      <c r="G168" s="14"/>
      <c r="H168" s="18"/>
      <c r="I168" s="14" t="str">
        <f t="shared" si="3"/>
        <v xml:space="preserve"> </v>
      </c>
    </row>
    <row r="169" spans="1:9" x14ac:dyDescent="0.25">
      <c r="A169" s="14"/>
      <c r="B169" s="14"/>
      <c r="C169" s="14"/>
      <c r="D169" s="32"/>
      <c r="E169" s="32"/>
      <c r="F169" s="14"/>
      <c r="G169" s="14"/>
      <c r="H169" s="18"/>
      <c r="I169" s="14" t="str">
        <f t="shared" si="3"/>
        <v xml:space="preserve"> </v>
      </c>
    </row>
    <row r="170" spans="1:9" x14ac:dyDescent="0.25">
      <c r="A170" s="14"/>
      <c r="B170" s="14"/>
      <c r="C170" s="14"/>
      <c r="D170" s="32"/>
      <c r="E170" s="32"/>
      <c r="F170" s="14"/>
      <c r="G170" s="14"/>
      <c r="H170" s="18"/>
      <c r="I170" s="14" t="str">
        <f t="shared" si="3"/>
        <v xml:space="preserve"> </v>
      </c>
    </row>
    <row r="171" spans="1:9" x14ac:dyDescent="0.25">
      <c r="A171" s="14"/>
      <c r="B171" s="14"/>
      <c r="C171" s="14"/>
      <c r="D171" s="32"/>
      <c r="E171" s="32"/>
      <c r="F171" s="14"/>
      <c r="G171" s="14"/>
      <c r="H171" s="18"/>
      <c r="I171" s="14" t="str">
        <f t="shared" si="3"/>
        <v xml:space="preserve"> </v>
      </c>
    </row>
    <row r="172" spans="1:9" x14ac:dyDescent="0.25">
      <c r="A172" s="14"/>
      <c r="B172" s="14"/>
      <c r="C172" s="14"/>
      <c r="D172" s="32"/>
      <c r="E172" s="32"/>
      <c r="F172" s="14"/>
      <c r="G172" s="14"/>
      <c r="H172" s="18"/>
      <c r="I172" s="14" t="str">
        <f t="shared" si="3"/>
        <v xml:space="preserve"> </v>
      </c>
    </row>
    <row r="173" spans="1:9" x14ac:dyDescent="0.25">
      <c r="A173" s="14"/>
      <c r="B173" s="14"/>
      <c r="C173" s="14"/>
      <c r="D173" s="32"/>
      <c r="E173" s="32"/>
      <c r="F173" s="14"/>
      <c r="G173" s="14"/>
      <c r="H173" s="18"/>
      <c r="I173" s="14" t="str">
        <f t="shared" si="3"/>
        <v xml:space="preserve"> </v>
      </c>
    </row>
    <row r="174" spans="1:9" x14ac:dyDescent="0.25">
      <c r="A174" s="14"/>
      <c r="B174" s="14"/>
      <c r="C174" s="14"/>
      <c r="D174" s="32"/>
      <c r="E174" s="32"/>
      <c r="F174" s="14"/>
      <c r="G174" s="14"/>
      <c r="H174" s="18"/>
      <c r="I174" s="14" t="str">
        <f t="shared" si="3"/>
        <v xml:space="preserve"> </v>
      </c>
    </row>
    <row r="175" spans="1:9" x14ac:dyDescent="0.25">
      <c r="A175" s="14"/>
      <c r="B175" s="14"/>
      <c r="C175" s="14"/>
      <c r="D175" s="32"/>
      <c r="E175" s="32"/>
      <c r="F175" s="14"/>
      <c r="G175" s="14"/>
      <c r="H175" s="18"/>
      <c r="I175" s="14" t="str">
        <f t="shared" si="3"/>
        <v xml:space="preserve"> </v>
      </c>
    </row>
    <row r="176" spans="1:9" x14ac:dyDescent="0.25">
      <c r="A176" s="14"/>
      <c r="B176" s="14"/>
      <c r="C176" s="14"/>
      <c r="D176" s="32"/>
      <c r="E176" s="32"/>
      <c r="F176" s="14"/>
      <c r="G176" s="14"/>
      <c r="H176" s="18"/>
      <c r="I176" s="14" t="str">
        <f t="shared" si="3"/>
        <v xml:space="preserve"> </v>
      </c>
    </row>
    <row r="177" spans="1:9" x14ac:dyDescent="0.25">
      <c r="A177" s="14"/>
      <c r="B177" s="14"/>
      <c r="C177" s="14"/>
      <c r="D177" s="32"/>
      <c r="E177" s="32"/>
      <c r="F177" s="14"/>
      <c r="G177" s="14"/>
      <c r="H177" s="18"/>
      <c r="I177" s="14" t="str">
        <f t="shared" si="3"/>
        <v xml:space="preserve"> </v>
      </c>
    </row>
    <row r="178" spans="1:9" x14ac:dyDescent="0.25">
      <c r="A178" s="14"/>
      <c r="B178" s="14"/>
      <c r="C178" s="14"/>
      <c r="D178" s="32"/>
      <c r="E178" s="32"/>
      <c r="F178" s="14"/>
      <c r="G178" s="14"/>
      <c r="H178" s="18"/>
      <c r="I178" s="14" t="str">
        <f t="shared" si="3"/>
        <v xml:space="preserve"> </v>
      </c>
    </row>
    <row r="179" spans="1:9" x14ac:dyDescent="0.25">
      <c r="A179" s="14"/>
      <c r="B179" s="14"/>
      <c r="C179" s="14"/>
      <c r="D179" s="32"/>
      <c r="E179" s="32"/>
      <c r="F179" s="14"/>
      <c r="G179" s="14"/>
      <c r="H179" s="18"/>
      <c r="I179" s="14" t="str">
        <f t="shared" si="3"/>
        <v xml:space="preserve"> </v>
      </c>
    </row>
    <row r="180" spans="1:9" x14ac:dyDescent="0.25">
      <c r="A180" s="14"/>
      <c r="B180" s="14"/>
      <c r="C180" s="14"/>
      <c r="D180" s="32"/>
      <c r="E180" s="32"/>
      <c r="F180" s="14"/>
      <c r="G180" s="14"/>
      <c r="H180" s="18"/>
      <c r="I180" s="14" t="str">
        <f t="shared" si="3"/>
        <v xml:space="preserve"> </v>
      </c>
    </row>
    <row r="181" spans="1:9" x14ac:dyDescent="0.25">
      <c r="A181" s="14"/>
      <c r="B181" s="14"/>
      <c r="C181" s="14"/>
      <c r="D181" s="32"/>
      <c r="E181" s="32"/>
      <c r="F181" s="14"/>
      <c r="G181" s="14"/>
      <c r="H181" s="18"/>
      <c r="I181" s="14" t="str">
        <f t="shared" si="3"/>
        <v xml:space="preserve"> </v>
      </c>
    </row>
    <row r="182" spans="1:9" x14ac:dyDescent="0.25">
      <c r="A182" s="14"/>
      <c r="B182" s="14"/>
      <c r="C182" s="14"/>
      <c r="D182" s="32"/>
      <c r="E182" s="32"/>
      <c r="F182" s="14"/>
      <c r="G182" s="14"/>
      <c r="H182" s="18"/>
      <c r="I182" s="14" t="str">
        <f t="shared" si="3"/>
        <v xml:space="preserve"> </v>
      </c>
    </row>
    <row r="183" spans="1:9" x14ac:dyDescent="0.25">
      <c r="A183" s="14"/>
      <c r="B183" s="14"/>
      <c r="C183" s="14"/>
      <c r="D183" s="32"/>
      <c r="E183" s="32"/>
      <c r="F183" s="14"/>
      <c r="G183" s="14"/>
      <c r="H183" s="18"/>
      <c r="I183" s="14" t="str">
        <f t="shared" si="3"/>
        <v xml:space="preserve"> </v>
      </c>
    </row>
    <row r="184" spans="1:9" x14ac:dyDescent="0.25">
      <c r="A184" s="14"/>
      <c r="B184" s="14"/>
      <c r="C184" s="14"/>
      <c r="D184" s="32"/>
      <c r="E184" s="32"/>
      <c r="F184" s="14"/>
      <c r="G184" s="14"/>
      <c r="H184" s="18"/>
      <c r="I184" s="14" t="str">
        <f t="shared" si="3"/>
        <v xml:space="preserve"> </v>
      </c>
    </row>
    <row r="185" spans="1:9" x14ac:dyDescent="0.25">
      <c r="A185" s="14"/>
      <c r="B185" s="14"/>
      <c r="C185" s="14"/>
      <c r="D185" s="32"/>
      <c r="E185" s="32"/>
      <c r="F185" s="14"/>
      <c r="G185" s="14"/>
      <c r="H185" s="18"/>
      <c r="I185" s="14" t="str">
        <f t="shared" si="3"/>
        <v xml:space="preserve"> </v>
      </c>
    </row>
    <row r="186" spans="1:9" x14ac:dyDescent="0.25">
      <c r="A186" s="14"/>
      <c r="B186" s="14"/>
      <c r="C186" s="14"/>
      <c r="D186" s="32"/>
      <c r="E186" s="32"/>
      <c r="F186" s="14"/>
      <c r="G186" s="14"/>
      <c r="H186" s="18"/>
      <c r="I186" s="14" t="str">
        <f t="shared" si="3"/>
        <v xml:space="preserve"> </v>
      </c>
    </row>
    <row r="187" spans="1:9" x14ac:dyDescent="0.25">
      <c r="A187" s="14"/>
      <c r="B187" s="14"/>
      <c r="C187" s="14"/>
      <c r="D187" s="32"/>
      <c r="E187" s="32"/>
      <c r="F187" s="14"/>
      <c r="G187" s="14"/>
      <c r="H187" s="18"/>
      <c r="I187" s="14" t="str">
        <f t="shared" si="3"/>
        <v xml:space="preserve"> </v>
      </c>
    </row>
    <row r="188" spans="1:9" x14ac:dyDescent="0.25">
      <c r="A188" s="14"/>
      <c r="B188" s="14"/>
      <c r="C188" s="14"/>
      <c r="D188" s="32"/>
      <c r="E188" s="32"/>
      <c r="F188" s="14"/>
      <c r="G188" s="14"/>
      <c r="H188" s="18"/>
      <c r="I188" s="14" t="str">
        <f t="shared" si="3"/>
        <v xml:space="preserve"> </v>
      </c>
    </row>
    <row r="189" spans="1:9" x14ac:dyDescent="0.25">
      <c r="A189" s="14"/>
      <c r="B189" s="14"/>
      <c r="C189" s="14"/>
      <c r="D189" s="32"/>
      <c r="E189" s="32"/>
      <c r="F189" s="14"/>
      <c r="G189" s="14"/>
      <c r="H189" s="18"/>
      <c r="I189" s="14" t="str">
        <f t="shared" si="3"/>
        <v xml:space="preserve"> </v>
      </c>
    </row>
    <row r="190" spans="1:9" x14ac:dyDescent="0.25">
      <c r="A190" s="14"/>
      <c r="B190" s="14"/>
      <c r="C190" s="14"/>
      <c r="D190" s="32"/>
      <c r="E190" s="32"/>
      <c r="F190" s="14"/>
      <c r="G190" s="14"/>
      <c r="H190" s="18"/>
      <c r="I190" s="14" t="str">
        <f t="shared" si="3"/>
        <v xml:space="preserve"> </v>
      </c>
    </row>
    <row r="191" spans="1:9" x14ac:dyDescent="0.25">
      <c r="A191" s="14"/>
      <c r="B191" s="14"/>
      <c r="C191" s="14"/>
      <c r="D191" s="32"/>
      <c r="E191" s="32"/>
      <c r="F191" s="14"/>
      <c r="G191" s="14"/>
      <c r="H191" s="18"/>
      <c r="I191" s="14" t="str">
        <f t="shared" si="3"/>
        <v xml:space="preserve"> </v>
      </c>
    </row>
    <row r="192" spans="1:9" x14ac:dyDescent="0.25">
      <c r="A192" s="14"/>
      <c r="B192" s="14"/>
      <c r="C192" s="14"/>
      <c r="D192" s="32"/>
      <c r="E192" s="32"/>
      <c r="F192" s="14"/>
      <c r="G192" s="14"/>
      <c r="H192" s="18"/>
      <c r="I192" s="14" t="str">
        <f t="shared" si="3"/>
        <v xml:space="preserve"> </v>
      </c>
    </row>
    <row r="193" spans="1:9" x14ac:dyDescent="0.25">
      <c r="A193" s="14"/>
      <c r="B193" s="14"/>
      <c r="C193" s="14"/>
      <c r="D193" s="32"/>
      <c r="E193" s="32"/>
      <c r="F193" s="14"/>
      <c r="G193" s="14"/>
      <c r="H193" s="18"/>
      <c r="I193" s="14" t="str">
        <f t="shared" si="3"/>
        <v xml:space="preserve"> </v>
      </c>
    </row>
    <row r="194" spans="1:9" x14ac:dyDescent="0.25">
      <c r="A194" s="14"/>
      <c r="B194" s="14"/>
      <c r="C194" s="14"/>
      <c r="D194" s="32"/>
      <c r="E194" s="32"/>
      <c r="F194" s="14"/>
      <c r="G194" s="14"/>
      <c r="H194" s="18"/>
      <c r="I194" s="14" t="str">
        <f t="shared" si="3"/>
        <v xml:space="preserve"> </v>
      </c>
    </row>
    <row r="195" spans="1:9" x14ac:dyDescent="0.25">
      <c r="A195" s="14"/>
      <c r="B195" s="14"/>
      <c r="C195" s="14"/>
      <c r="D195" s="32"/>
      <c r="E195" s="32"/>
      <c r="F195" s="14"/>
      <c r="G195" s="14"/>
      <c r="H195" s="18"/>
      <c r="I195" s="14" t="str">
        <f t="shared" si="3"/>
        <v xml:space="preserve"> </v>
      </c>
    </row>
    <row r="196" spans="1:9" x14ac:dyDescent="0.25">
      <c r="A196" s="14"/>
      <c r="B196" s="14"/>
      <c r="C196" s="14"/>
      <c r="D196" s="32"/>
      <c r="E196" s="32"/>
      <c r="F196" s="14"/>
      <c r="G196" s="14"/>
      <c r="H196" s="18"/>
      <c r="I196" s="14" t="str">
        <f t="shared" si="3"/>
        <v xml:space="preserve"> </v>
      </c>
    </row>
    <row r="197" spans="1:9" x14ac:dyDescent="0.25">
      <c r="A197" s="14"/>
      <c r="B197" s="14"/>
      <c r="C197" s="14"/>
      <c r="D197" s="32"/>
      <c r="E197" s="32"/>
      <c r="F197" s="14"/>
      <c r="G197" s="14"/>
      <c r="H197" s="18"/>
      <c r="I197" s="14" t="str">
        <f t="shared" si="3"/>
        <v xml:space="preserve"> </v>
      </c>
    </row>
    <row r="198" spans="1:9" x14ac:dyDescent="0.25">
      <c r="A198" s="14"/>
      <c r="B198" s="14"/>
      <c r="C198" s="14"/>
      <c r="D198" s="32"/>
      <c r="E198" s="32"/>
      <c r="F198" s="14"/>
      <c r="G198" s="14"/>
      <c r="H198" s="18"/>
      <c r="I198" s="14" t="str">
        <f t="shared" ref="I198:I203" si="4">B198 &amp; " " &amp; C198</f>
        <v xml:space="preserve"> </v>
      </c>
    </row>
    <row r="199" spans="1:9" x14ac:dyDescent="0.25">
      <c r="A199" s="14"/>
      <c r="B199" s="14"/>
      <c r="C199" s="14"/>
      <c r="D199" s="32"/>
      <c r="E199" s="32"/>
      <c r="F199" s="14"/>
      <c r="G199" s="14"/>
      <c r="H199" s="18"/>
      <c r="I199" s="14" t="str">
        <f t="shared" si="4"/>
        <v xml:space="preserve"> </v>
      </c>
    </row>
    <row r="200" spans="1:9" x14ac:dyDescent="0.25">
      <c r="A200" s="14"/>
      <c r="B200" s="14"/>
      <c r="C200" s="14"/>
      <c r="D200" s="32"/>
      <c r="E200" s="32"/>
      <c r="F200" s="14"/>
      <c r="G200" s="14"/>
      <c r="H200" s="18"/>
      <c r="I200" s="14" t="str">
        <f t="shared" si="4"/>
        <v xml:space="preserve"> </v>
      </c>
    </row>
    <row r="201" spans="1:9" x14ac:dyDescent="0.25">
      <c r="A201" s="14"/>
      <c r="B201" s="14"/>
      <c r="C201" s="14"/>
      <c r="D201" s="32"/>
      <c r="E201" s="32"/>
      <c r="F201" s="14"/>
      <c r="G201" s="14"/>
      <c r="H201" s="18"/>
      <c r="I201" s="14" t="str">
        <f t="shared" si="4"/>
        <v xml:space="preserve"> </v>
      </c>
    </row>
    <row r="202" spans="1:9" x14ac:dyDescent="0.25">
      <c r="A202" s="14"/>
      <c r="B202" s="14"/>
      <c r="C202" s="14"/>
      <c r="D202" s="32"/>
      <c r="E202" s="32"/>
      <c r="F202" s="14"/>
      <c r="G202" s="14"/>
      <c r="H202" s="18"/>
      <c r="I202" s="14" t="str">
        <f t="shared" si="4"/>
        <v xml:space="preserve"> </v>
      </c>
    </row>
    <row r="203" spans="1:9" x14ac:dyDescent="0.25">
      <c r="A203" s="14"/>
      <c r="B203" s="14"/>
      <c r="C203" s="14"/>
      <c r="D203" s="32"/>
      <c r="E203" s="32"/>
      <c r="F203" s="14"/>
      <c r="G203" s="14"/>
      <c r="H203" s="18"/>
      <c r="I203" s="14" t="str">
        <f t="shared" si="4"/>
        <v xml:space="preserve"> </v>
      </c>
    </row>
  </sheetData>
  <mergeCells count="1">
    <mergeCell ref="A1:I3"/>
  </mergeCells>
  <phoneticPr fontId="3" type="noConversion"/>
  <hyperlinks>
    <hyperlink ref="F5" r:id="rId1" display="mailto:kelly@mail.com" xr:uid="{E119E14A-8290-4B41-8D67-8F9A9CCB31EB}"/>
    <hyperlink ref="F6" r:id="rId2" display="mailto:john@mail.com" xr:uid="{E705B487-8F55-428A-99C3-7D59DC06618E}"/>
    <hyperlink ref="F7" r:id="rId3" display="mailto:mary@mail.com" xr:uid="{33B31DC5-6435-4D80-96B3-4D39684EB8DE}"/>
    <hyperlink ref="F8" r:id="rId4" display="mailto:thabo@mail.com" xr:uid="{C06690CB-D1D0-4D7C-8582-6E9BA525669D}"/>
    <hyperlink ref="F9" r:id="rId5" display="mailto:ayesha@mail.com" xr:uid="{C3FE96EF-5712-43F0-8A72-415BF69A9D7D}"/>
    <hyperlink ref="F10" r:id="rId6" display="mailto:sipho@mail.com" xr:uid="{B0FBCA01-83C1-49EA-A737-72F2FD770C3D}"/>
    <hyperlink ref="F11" r:id="rId7" display="mailto:lerato@mail.com" xr:uid="{E5D5AC6F-8884-4AD8-88BB-E11CF287DE52}"/>
    <hyperlink ref="F12" r:id="rId8" display="mailto:daniel@mail.com" xr:uid="{797FA5B7-5738-4360-B168-F1575269E861}"/>
    <hyperlink ref="F13" r:id="rId9" display="mailto:kabelo@mail.com" xr:uid="{A3C93F34-5492-4ED1-A4BF-D95BFE756759}"/>
    <hyperlink ref="F14" r:id="rId10" display="mailto:bianca@mail.com" xr:uid="{2A3F14D5-E20E-47C7-99A7-B1B42DAD9ABB}"/>
    <hyperlink ref="F15" r:id="rId11" display="mailto:mpho@mail.com" xr:uid="{5C5A68DC-4A1F-4077-8570-70D1997A9351}"/>
    <hyperlink ref="F16" r:id="rId12" display="mailto:jason@mail.com" xr:uid="{59681BCC-B164-4D49-81DD-41D511F8C7BE}"/>
    <hyperlink ref="F17" r:id="rId13" display="mailto:zanele@mail.com" xr:uid="{3359C66C-42D0-4D75-90B5-FD4BA3AABA71}"/>
    <hyperlink ref="F18" r:id="rId14" display="mailto:ryan@mail.com" xr:uid="{440A1A63-DAFF-47ED-848D-C6C1B4DED530}"/>
    <hyperlink ref="F19" r:id="rId15" display="mailto:fatima@mail.com" xr:uid="{2BBC81CF-4A95-47C3-8B31-0EB04D1697EE}"/>
    <hyperlink ref="F20" r:id="rId16" display="mailto:sibu@mail.com" xr:uid="{9DC1B12C-6A6C-44B5-B26E-EAC8D349E619}"/>
    <hyperlink ref="F21" r:id="rId17" display="mailto:nicole@mail.com" xr:uid="{F9F21972-98B3-4EF1-8438-FB81B7A5CFC1}"/>
    <hyperlink ref="F22" r:id="rId18" display="mailto:andile@mail.com" xr:uid="{60E6C4B9-E22C-422A-94B9-D959B4C5596D}"/>
    <hyperlink ref="F23" r:id="rId19" display="mailto:carla@mail.com" xr:uid="{AA391686-BBAC-4366-8D9A-EE1B4B6EFAB7}"/>
    <hyperlink ref="F24" r:id="rId20" display="mailto:themba@mail.com" xr:uid="{FFEEA2E6-DADA-414F-906E-62E4596EA8FD}"/>
  </hyperlinks>
  <pageMargins left="0.7" right="0.7" top="0.75" bottom="0.75" header="0.3" footer="0.3"/>
  <pageSetup orientation="portrait" r:id="rId21"/>
  <ignoredErrors>
    <ignoredError sqref="I5:I7" calculatedColumn="1"/>
    <ignoredError sqref="E5:E12 E14:E24" numberStoredAsText="1"/>
  </ignoredErrors>
  <tableParts count="1">
    <tablePart r:id="rId2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79BFA-DB96-426A-9479-57B2E5151074}">
  <dimension ref="A1:I36"/>
  <sheetViews>
    <sheetView topLeftCell="D1" zoomScale="190" zoomScaleNormal="190" workbookViewId="0">
      <pane ySplit="1" topLeftCell="A2" activePane="bottomLeft" state="frozen"/>
      <selection pane="bottomLeft" activeCell="J4" sqref="J4"/>
    </sheetView>
  </sheetViews>
  <sheetFormatPr defaultRowHeight="15" x14ac:dyDescent="0.25"/>
  <cols>
    <col min="1" max="1" width="13.140625" style="14" customWidth="1"/>
    <col min="2" max="2" width="12.42578125" style="14" customWidth="1"/>
    <col min="3" max="4" width="17.85546875" style="18" customWidth="1"/>
    <col min="5" max="5" width="21.42578125" style="18" customWidth="1"/>
    <col min="6" max="6" width="21" style="14" customWidth="1"/>
    <col min="7" max="7" width="36.85546875" style="14" customWidth="1"/>
    <col min="8" max="8" width="17" style="14" customWidth="1"/>
    <col min="9" max="9" width="17.5703125" style="14" customWidth="1"/>
  </cols>
  <sheetData>
    <row r="1" spans="1:9" x14ac:dyDescent="0.25">
      <c r="A1" s="10" t="s">
        <v>9</v>
      </c>
      <c r="B1" s="11" t="s">
        <v>0</v>
      </c>
      <c r="C1" s="12" t="s">
        <v>10</v>
      </c>
      <c r="D1" s="12" t="s">
        <v>233</v>
      </c>
      <c r="E1" s="12" t="s">
        <v>236</v>
      </c>
      <c r="F1" s="11" t="s">
        <v>243</v>
      </c>
      <c r="G1" s="11" t="s">
        <v>11</v>
      </c>
      <c r="H1" s="11" t="s">
        <v>12</v>
      </c>
      <c r="I1" s="13" t="s">
        <v>13</v>
      </c>
    </row>
    <row r="2" spans="1:9" x14ac:dyDescent="0.25">
      <c r="A2" s="14" t="s">
        <v>200</v>
      </c>
      <c r="B2" s="15" t="s">
        <v>33</v>
      </c>
      <c r="C2" s="16">
        <v>46058</v>
      </c>
      <c r="D2" s="16" t="s">
        <v>237</v>
      </c>
      <c r="E2" s="16" t="s">
        <v>238</v>
      </c>
      <c r="F2" s="15" t="s">
        <v>190</v>
      </c>
      <c r="G2" s="14" t="s">
        <v>51</v>
      </c>
      <c r="H2" s="46">
        <v>500</v>
      </c>
      <c r="I2" s="17" t="s">
        <v>48</v>
      </c>
    </row>
    <row r="3" spans="1:9" x14ac:dyDescent="0.25">
      <c r="A3" s="14" t="s">
        <v>201</v>
      </c>
      <c r="B3" s="15" t="s">
        <v>33</v>
      </c>
      <c r="C3" s="16">
        <v>46065</v>
      </c>
      <c r="D3" s="16" t="s">
        <v>235</v>
      </c>
      <c r="E3" s="16" t="s">
        <v>238</v>
      </c>
      <c r="F3" s="15" t="s">
        <v>191</v>
      </c>
      <c r="G3" s="14" t="s">
        <v>52</v>
      </c>
      <c r="H3" s="46">
        <v>450</v>
      </c>
      <c r="I3" s="17" t="s">
        <v>48</v>
      </c>
    </row>
    <row r="4" spans="1:9" x14ac:dyDescent="0.25">
      <c r="A4" s="14" t="s">
        <v>202</v>
      </c>
      <c r="B4" s="15" t="s">
        <v>38</v>
      </c>
      <c r="C4" s="16">
        <v>46061</v>
      </c>
      <c r="D4" s="16" t="s">
        <v>235</v>
      </c>
      <c r="E4" s="16" t="s">
        <v>238</v>
      </c>
      <c r="F4" s="15" t="s">
        <v>244</v>
      </c>
      <c r="G4" s="14" t="s">
        <v>53</v>
      </c>
      <c r="H4" s="46">
        <v>500</v>
      </c>
      <c r="I4" s="17" t="s">
        <v>48</v>
      </c>
    </row>
    <row r="5" spans="1:9" x14ac:dyDescent="0.25">
      <c r="A5" s="14" t="s">
        <v>203</v>
      </c>
      <c r="B5" s="15" t="s">
        <v>43</v>
      </c>
      <c r="C5" s="16">
        <v>46068</v>
      </c>
      <c r="D5" s="16" t="s">
        <v>237</v>
      </c>
      <c r="E5" s="16" t="s">
        <v>239</v>
      </c>
      <c r="F5" s="15" t="s">
        <v>245</v>
      </c>
      <c r="G5" s="14" t="s">
        <v>54</v>
      </c>
      <c r="H5" s="46">
        <v>600</v>
      </c>
      <c r="I5" s="17" t="s">
        <v>48</v>
      </c>
    </row>
    <row r="6" spans="1:9" hidden="1" x14ac:dyDescent="0.25">
      <c r="A6"/>
      <c r="B6"/>
      <c r="C6"/>
      <c r="D6"/>
      <c r="E6"/>
      <c r="F6"/>
      <c r="G6"/>
      <c r="H6"/>
      <c r="I6" s="2"/>
    </row>
    <row r="7" spans="1:9" ht="30" x14ac:dyDescent="0.25">
      <c r="A7" s="15" t="s">
        <v>204</v>
      </c>
      <c r="B7" s="15" t="s">
        <v>33</v>
      </c>
      <c r="C7" s="16" t="s">
        <v>165</v>
      </c>
      <c r="D7" s="16" t="s">
        <v>237</v>
      </c>
      <c r="E7" s="16" t="s">
        <v>239</v>
      </c>
      <c r="F7" s="15" t="s">
        <v>246</v>
      </c>
      <c r="G7" s="15" t="s">
        <v>166</v>
      </c>
      <c r="H7" s="46">
        <v>500</v>
      </c>
      <c r="I7" s="17" t="s">
        <v>48</v>
      </c>
    </row>
    <row r="8" spans="1:9" x14ac:dyDescent="0.25">
      <c r="A8" s="15" t="s">
        <v>205</v>
      </c>
      <c r="B8" s="15" t="s">
        <v>33</v>
      </c>
      <c r="C8" s="16" t="s">
        <v>167</v>
      </c>
      <c r="D8" s="16" t="s">
        <v>237</v>
      </c>
      <c r="E8" s="16" t="s">
        <v>240</v>
      </c>
      <c r="F8" s="15" t="s">
        <v>247</v>
      </c>
      <c r="G8" s="15" t="s">
        <v>168</v>
      </c>
      <c r="H8" s="46">
        <v>450</v>
      </c>
      <c r="I8" s="17" t="s">
        <v>48</v>
      </c>
    </row>
    <row r="9" spans="1:9" x14ac:dyDescent="0.25">
      <c r="A9" s="15" t="s">
        <v>206</v>
      </c>
      <c r="B9" s="15" t="s">
        <v>33</v>
      </c>
      <c r="C9" s="16" t="s">
        <v>169</v>
      </c>
      <c r="D9" s="16" t="s">
        <v>237</v>
      </c>
      <c r="E9" s="16" t="s">
        <v>240</v>
      </c>
      <c r="F9" s="15" t="s">
        <v>247</v>
      </c>
      <c r="G9" s="15" t="s">
        <v>170</v>
      </c>
      <c r="H9" s="46">
        <v>450</v>
      </c>
      <c r="I9" s="17" t="s">
        <v>48</v>
      </c>
    </row>
    <row r="10" spans="1:9" x14ac:dyDescent="0.25">
      <c r="A10" s="15" t="s">
        <v>207</v>
      </c>
      <c r="B10" s="15" t="s">
        <v>38</v>
      </c>
      <c r="C10" s="16" t="s">
        <v>171</v>
      </c>
      <c r="D10" s="16" t="s">
        <v>237</v>
      </c>
      <c r="E10" s="16" t="s">
        <v>238</v>
      </c>
      <c r="F10" s="15" t="s">
        <v>191</v>
      </c>
      <c r="G10" s="15" t="s">
        <v>49</v>
      </c>
      <c r="H10" s="46">
        <v>500</v>
      </c>
      <c r="I10" s="17" t="s">
        <v>48</v>
      </c>
    </row>
    <row r="11" spans="1:9" x14ac:dyDescent="0.25">
      <c r="A11" s="15" t="s">
        <v>208</v>
      </c>
      <c r="B11" s="15" t="s">
        <v>38</v>
      </c>
      <c r="C11" s="16" t="s">
        <v>96</v>
      </c>
      <c r="D11" s="16" t="s">
        <v>237</v>
      </c>
      <c r="E11" s="16" t="s">
        <v>239</v>
      </c>
      <c r="F11" s="15" t="s">
        <v>191</v>
      </c>
      <c r="G11" s="15" t="s">
        <v>172</v>
      </c>
      <c r="H11" s="46">
        <v>500</v>
      </c>
      <c r="I11" s="17" t="s">
        <v>50</v>
      </c>
    </row>
    <row r="12" spans="1:9" x14ac:dyDescent="0.25">
      <c r="A12" s="15" t="s">
        <v>209</v>
      </c>
      <c r="B12" s="15" t="s">
        <v>43</v>
      </c>
      <c r="C12" s="16" t="s">
        <v>173</v>
      </c>
      <c r="D12" s="16" t="s">
        <v>237</v>
      </c>
      <c r="E12" s="16" t="s">
        <v>239</v>
      </c>
      <c r="F12" s="15" t="s">
        <v>248</v>
      </c>
      <c r="G12" s="15" t="s">
        <v>174</v>
      </c>
      <c r="H12" s="46">
        <v>600</v>
      </c>
      <c r="I12" s="17" t="s">
        <v>48</v>
      </c>
    </row>
    <row r="13" spans="1:9" x14ac:dyDescent="0.25">
      <c r="A13" s="15" t="s">
        <v>210</v>
      </c>
      <c r="B13" s="15" t="s">
        <v>43</v>
      </c>
      <c r="C13" s="16" t="s">
        <v>175</v>
      </c>
      <c r="D13" s="16" t="s">
        <v>235</v>
      </c>
      <c r="E13" s="16" t="s">
        <v>240</v>
      </c>
      <c r="F13" s="15" t="s">
        <v>249</v>
      </c>
      <c r="G13" s="15" t="s">
        <v>176</v>
      </c>
      <c r="H13" s="46">
        <v>550</v>
      </c>
      <c r="I13" s="17" t="s">
        <v>48</v>
      </c>
    </row>
    <row r="14" spans="1:9" x14ac:dyDescent="0.25">
      <c r="A14" s="15" t="s">
        <v>211</v>
      </c>
      <c r="B14" s="15" t="s">
        <v>55</v>
      </c>
      <c r="C14" s="16" t="s">
        <v>66</v>
      </c>
      <c r="D14" s="16" t="s">
        <v>235</v>
      </c>
      <c r="E14" s="16" t="s">
        <v>239</v>
      </c>
      <c r="F14" s="15" t="s">
        <v>250</v>
      </c>
      <c r="G14" s="15" t="s">
        <v>177</v>
      </c>
      <c r="H14" s="46">
        <v>650</v>
      </c>
      <c r="I14" s="17" t="s">
        <v>48</v>
      </c>
    </row>
    <row r="15" spans="1:9" x14ac:dyDescent="0.25">
      <c r="A15" s="15" t="s">
        <v>212</v>
      </c>
      <c r="B15" s="15" t="s">
        <v>55</v>
      </c>
      <c r="C15" s="16" t="s">
        <v>178</v>
      </c>
      <c r="D15" s="16" t="s">
        <v>235</v>
      </c>
      <c r="E15" s="16" t="s">
        <v>240</v>
      </c>
      <c r="F15" s="15" t="s">
        <v>190</v>
      </c>
      <c r="G15" s="15" t="s">
        <v>179</v>
      </c>
      <c r="H15" s="46">
        <v>600</v>
      </c>
      <c r="I15" s="17" t="s">
        <v>48</v>
      </c>
    </row>
    <row r="16" spans="1:9" x14ac:dyDescent="0.25">
      <c r="A16" s="15" t="s">
        <v>213</v>
      </c>
      <c r="B16" s="15" t="s">
        <v>61</v>
      </c>
      <c r="C16" s="16" t="s">
        <v>180</v>
      </c>
      <c r="D16" s="16" t="s">
        <v>237</v>
      </c>
      <c r="E16" s="16" t="s">
        <v>240</v>
      </c>
      <c r="F16" s="15" t="s">
        <v>196</v>
      </c>
      <c r="G16" s="15" t="s">
        <v>181</v>
      </c>
      <c r="H16" s="46">
        <v>500</v>
      </c>
      <c r="I16" s="17" t="s">
        <v>48</v>
      </c>
    </row>
    <row r="17" spans="1:9" x14ac:dyDescent="0.25">
      <c r="A17" s="15" t="s">
        <v>214</v>
      </c>
      <c r="B17" s="15" t="s">
        <v>61</v>
      </c>
      <c r="C17" s="16" t="s">
        <v>182</v>
      </c>
      <c r="D17" s="16" t="s">
        <v>237</v>
      </c>
      <c r="E17" s="16" t="s">
        <v>238</v>
      </c>
      <c r="F17" s="15" t="s">
        <v>251</v>
      </c>
      <c r="G17" s="15" t="s">
        <v>183</v>
      </c>
      <c r="H17" s="46">
        <v>450</v>
      </c>
      <c r="I17" s="17" t="s">
        <v>50</v>
      </c>
    </row>
    <row r="18" spans="1:9" x14ac:dyDescent="0.25">
      <c r="A18" s="15" t="s">
        <v>215</v>
      </c>
      <c r="B18" s="15" t="s">
        <v>67</v>
      </c>
      <c r="C18" s="16" t="s">
        <v>72</v>
      </c>
      <c r="D18" s="16" t="s">
        <v>237</v>
      </c>
      <c r="E18" s="16" t="s">
        <v>239</v>
      </c>
      <c r="F18" s="15" t="s">
        <v>196</v>
      </c>
      <c r="G18" s="15" t="s">
        <v>184</v>
      </c>
      <c r="H18" s="46">
        <v>550</v>
      </c>
      <c r="I18" s="17" t="s">
        <v>48</v>
      </c>
    </row>
    <row r="19" spans="1:9" x14ac:dyDescent="0.25">
      <c r="A19" s="15" t="s">
        <v>216</v>
      </c>
      <c r="B19" s="15" t="s">
        <v>67</v>
      </c>
      <c r="C19" s="16" t="s">
        <v>83</v>
      </c>
      <c r="D19" s="16" t="s">
        <v>237</v>
      </c>
      <c r="E19" s="16" t="s">
        <v>239</v>
      </c>
      <c r="F19" s="15" t="s">
        <v>191</v>
      </c>
      <c r="G19" s="15" t="s">
        <v>185</v>
      </c>
      <c r="H19" s="46">
        <v>500</v>
      </c>
      <c r="I19" s="17" t="s">
        <v>48</v>
      </c>
    </row>
    <row r="20" spans="1:9" x14ac:dyDescent="0.25">
      <c r="A20" s="15" t="s">
        <v>217</v>
      </c>
      <c r="B20" s="15" t="s">
        <v>73</v>
      </c>
      <c r="C20" s="16" t="s">
        <v>186</v>
      </c>
      <c r="D20" s="16" t="s">
        <v>237</v>
      </c>
      <c r="E20" s="16" t="s">
        <v>240</v>
      </c>
      <c r="F20" s="15" t="s">
        <v>247</v>
      </c>
      <c r="G20" s="15" t="s">
        <v>187</v>
      </c>
      <c r="H20" s="46">
        <v>600</v>
      </c>
      <c r="I20" s="17" t="s">
        <v>48</v>
      </c>
    </row>
    <row r="21" spans="1:9" x14ac:dyDescent="0.25">
      <c r="A21" s="15" t="s">
        <v>218</v>
      </c>
      <c r="B21" s="15" t="s">
        <v>73</v>
      </c>
      <c r="C21" s="16" t="s">
        <v>102</v>
      </c>
      <c r="D21" s="16" t="s">
        <v>235</v>
      </c>
      <c r="E21" s="16" t="s">
        <v>238</v>
      </c>
      <c r="F21" s="15" t="s">
        <v>190</v>
      </c>
      <c r="G21" s="15" t="s">
        <v>188</v>
      </c>
      <c r="H21" s="46">
        <v>550</v>
      </c>
      <c r="I21" s="17" t="s">
        <v>48</v>
      </c>
    </row>
    <row r="22" spans="1:9" x14ac:dyDescent="0.25">
      <c r="A22" s="15" t="s">
        <v>219</v>
      </c>
      <c r="B22" s="15" t="s">
        <v>79</v>
      </c>
      <c r="C22" s="16" t="s">
        <v>78</v>
      </c>
      <c r="D22" s="16" t="s">
        <v>235</v>
      </c>
      <c r="E22" s="16" t="s">
        <v>240</v>
      </c>
      <c r="F22" s="15" t="s">
        <v>249</v>
      </c>
      <c r="G22" s="15" t="s">
        <v>49</v>
      </c>
      <c r="H22" s="46">
        <v>500</v>
      </c>
      <c r="I22" s="17" t="s">
        <v>48</v>
      </c>
    </row>
    <row r="23" spans="1:9" x14ac:dyDescent="0.25">
      <c r="A23" s="15" t="s">
        <v>220</v>
      </c>
      <c r="B23" s="15" t="s">
        <v>79</v>
      </c>
      <c r="C23" s="16" t="s">
        <v>107</v>
      </c>
      <c r="D23" s="16" t="s">
        <v>235</v>
      </c>
      <c r="E23" s="16" t="s">
        <v>240</v>
      </c>
      <c r="F23" s="15" t="s">
        <v>249</v>
      </c>
      <c r="G23" s="15" t="s">
        <v>189</v>
      </c>
      <c r="H23" s="46">
        <v>500</v>
      </c>
      <c r="I23" s="17" t="s">
        <v>48</v>
      </c>
    </row>
    <row r="24" spans="1:9" x14ac:dyDescent="0.25">
      <c r="A24" s="15" t="s">
        <v>221</v>
      </c>
      <c r="B24" s="15" t="s">
        <v>92</v>
      </c>
      <c r="C24" s="16" t="s">
        <v>112</v>
      </c>
      <c r="D24" s="16" t="s">
        <v>235</v>
      </c>
      <c r="E24" s="16" t="s">
        <v>238</v>
      </c>
      <c r="F24" s="15" t="s">
        <v>190</v>
      </c>
      <c r="G24" s="15" t="s">
        <v>190</v>
      </c>
      <c r="H24" s="46">
        <v>500</v>
      </c>
      <c r="I24" s="17" t="s">
        <v>48</v>
      </c>
    </row>
    <row r="25" spans="1:9" x14ac:dyDescent="0.25">
      <c r="A25" s="15" t="s">
        <v>222</v>
      </c>
      <c r="B25" s="15" t="s">
        <v>97</v>
      </c>
      <c r="C25" s="16" t="s">
        <v>118</v>
      </c>
      <c r="D25" s="16" t="s">
        <v>237</v>
      </c>
      <c r="E25" s="16" t="s">
        <v>240</v>
      </c>
      <c r="F25" s="15" t="s">
        <v>191</v>
      </c>
      <c r="G25" s="15" t="s">
        <v>191</v>
      </c>
      <c r="H25" s="46">
        <v>500</v>
      </c>
      <c r="I25" s="17" t="s">
        <v>48</v>
      </c>
    </row>
    <row r="26" spans="1:9" x14ac:dyDescent="0.25">
      <c r="A26" s="15" t="s">
        <v>223</v>
      </c>
      <c r="B26" s="15" t="s">
        <v>103</v>
      </c>
      <c r="C26" s="16" t="s">
        <v>123</v>
      </c>
      <c r="D26" s="16" t="s">
        <v>237</v>
      </c>
      <c r="E26" s="16" t="s">
        <v>240</v>
      </c>
      <c r="F26" s="15" t="s">
        <v>196</v>
      </c>
      <c r="G26" s="15" t="s">
        <v>192</v>
      </c>
      <c r="H26" s="46">
        <v>550</v>
      </c>
      <c r="I26" s="17" t="s">
        <v>48</v>
      </c>
    </row>
    <row r="27" spans="1:9" x14ac:dyDescent="0.25">
      <c r="A27" s="15" t="s">
        <v>224</v>
      </c>
      <c r="B27" s="15" t="s">
        <v>108</v>
      </c>
      <c r="C27" s="16" t="s">
        <v>128</v>
      </c>
      <c r="D27" s="16" t="s">
        <v>237</v>
      </c>
      <c r="E27" s="16" t="s">
        <v>240</v>
      </c>
      <c r="F27" s="15" t="s">
        <v>248</v>
      </c>
      <c r="G27" s="15" t="s">
        <v>193</v>
      </c>
      <c r="H27" s="46">
        <v>600</v>
      </c>
      <c r="I27" s="17" t="s">
        <v>48</v>
      </c>
    </row>
    <row r="28" spans="1:9" x14ac:dyDescent="0.25">
      <c r="A28" s="15" t="s">
        <v>225</v>
      </c>
      <c r="B28" s="15" t="s">
        <v>113</v>
      </c>
      <c r="C28" s="16" t="s">
        <v>133</v>
      </c>
      <c r="D28" s="16" t="s">
        <v>235</v>
      </c>
      <c r="E28" s="16" t="s">
        <v>240</v>
      </c>
      <c r="F28" s="15" t="s">
        <v>252</v>
      </c>
      <c r="G28" s="15" t="s">
        <v>194</v>
      </c>
      <c r="H28" s="46">
        <v>650</v>
      </c>
      <c r="I28" s="17" t="s">
        <v>50</v>
      </c>
    </row>
    <row r="29" spans="1:9" x14ac:dyDescent="0.25">
      <c r="A29" s="15" t="s">
        <v>226</v>
      </c>
      <c r="B29" s="15" t="s">
        <v>119</v>
      </c>
      <c r="C29" s="16" t="s">
        <v>138</v>
      </c>
      <c r="D29" s="16" t="s">
        <v>235</v>
      </c>
      <c r="E29" s="16" t="s">
        <v>239</v>
      </c>
      <c r="F29" s="15" t="s">
        <v>252</v>
      </c>
      <c r="G29" s="15" t="s">
        <v>179</v>
      </c>
      <c r="H29" s="46">
        <v>550</v>
      </c>
      <c r="I29" s="17" t="s">
        <v>48</v>
      </c>
    </row>
    <row r="30" spans="1:9" x14ac:dyDescent="0.25">
      <c r="A30" s="15" t="s">
        <v>227</v>
      </c>
      <c r="B30" s="15" t="s">
        <v>124</v>
      </c>
      <c r="C30" s="16" t="s">
        <v>143</v>
      </c>
      <c r="D30" s="16" t="s">
        <v>235</v>
      </c>
      <c r="E30" s="16" t="s">
        <v>238</v>
      </c>
      <c r="F30" s="15" t="s">
        <v>248</v>
      </c>
      <c r="G30" s="15" t="s">
        <v>49</v>
      </c>
      <c r="H30" s="46">
        <v>500</v>
      </c>
      <c r="I30" s="17" t="s">
        <v>48</v>
      </c>
    </row>
    <row r="31" spans="1:9" x14ac:dyDescent="0.25">
      <c r="A31" s="15" t="s">
        <v>228</v>
      </c>
      <c r="B31" s="15" t="s">
        <v>129</v>
      </c>
      <c r="C31" s="16" t="s">
        <v>148</v>
      </c>
      <c r="D31" s="16" t="s">
        <v>235</v>
      </c>
      <c r="E31" s="16" t="s">
        <v>239</v>
      </c>
      <c r="F31" s="15" t="s">
        <v>248</v>
      </c>
      <c r="G31" s="15" t="s">
        <v>191</v>
      </c>
      <c r="H31" s="46">
        <v>500</v>
      </c>
      <c r="I31" s="17" t="s">
        <v>48</v>
      </c>
    </row>
    <row r="32" spans="1:9" x14ac:dyDescent="0.25">
      <c r="A32" s="15" t="s">
        <v>229</v>
      </c>
      <c r="B32" s="15" t="s">
        <v>134</v>
      </c>
      <c r="C32" s="16" t="s">
        <v>153</v>
      </c>
      <c r="D32" s="16" t="s">
        <v>235</v>
      </c>
      <c r="E32" s="16" t="s">
        <v>239</v>
      </c>
      <c r="F32" s="15" t="s">
        <v>248</v>
      </c>
      <c r="G32" s="15" t="s">
        <v>190</v>
      </c>
      <c r="H32" s="46">
        <v>500</v>
      </c>
      <c r="I32" s="17" t="s">
        <v>48</v>
      </c>
    </row>
    <row r="33" spans="1:9" x14ac:dyDescent="0.25">
      <c r="A33" s="15" t="s">
        <v>230</v>
      </c>
      <c r="B33" s="15" t="s">
        <v>139</v>
      </c>
      <c r="C33" s="16" t="s">
        <v>195</v>
      </c>
      <c r="D33" s="16" t="s">
        <v>237</v>
      </c>
      <c r="E33" s="16" t="s">
        <v>239</v>
      </c>
      <c r="F33" s="15" t="s">
        <v>244</v>
      </c>
      <c r="G33" s="15" t="s">
        <v>196</v>
      </c>
      <c r="H33" s="46">
        <v>650</v>
      </c>
      <c r="I33" s="17" t="s">
        <v>48</v>
      </c>
    </row>
    <row r="34" spans="1:9" x14ac:dyDescent="0.25">
      <c r="A34" s="15" t="s">
        <v>231</v>
      </c>
      <c r="B34" s="15" t="s">
        <v>144</v>
      </c>
      <c r="C34" s="16" t="s">
        <v>197</v>
      </c>
      <c r="D34" s="16" t="s">
        <v>235</v>
      </c>
      <c r="E34" s="16" t="s">
        <v>239</v>
      </c>
      <c r="F34" s="15" t="s">
        <v>249</v>
      </c>
      <c r="G34" s="15" t="s">
        <v>198</v>
      </c>
      <c r="H34" s="46">
        <v>600</v>
      </c>
      <c r="I34" s="17" t="s">
        <v>48</v>
      </c>
    </row>
    <row r="35" spans="1:9" x14ac:dyDescent="0.25">
      <c r="A35" s="15" t="s">
        <v>232</v>
      </c>
      <c r="B35" s="15" t="s">
        <v>149</v>
      </c>
      <c r="C35" s="16" t="s">
        <v>199</v>
      </c>
      <c r="D35" s="16" t="s">
        <v>237</v>
      </c>
      <c r="E35" s="16" t="s">
        <v>240</v>
      </c>
      <c r="F35" s="15" t="s">
        <v>244</v>
      </c>
      <c r="G35" s="15" t="s">
        <v>188</v>
      </c>
      <c r="H35" s="46">
        <v>500</v>
      </c>
      <c r="I35" s="17" t="s">
        <v>50</v>
      </c>
    </row>
    <row r="36" spans="1:9" x14ac:dyDescent="0.25">
      <c r="H36" s="47"/>
      <c r="I36" s="19"/>
    </row>
  </sheetData>
  <conditionalFormatting sqref="I1:I35 I37:I1048576">
    <cfRule type="containsText" dxfId="1" priority="2" operator="containsText" text="Paid">
      <formula>NOT(ISERROR(SEARCH("Paid",I1)))</formula>
    </cfRule>
  </conditionalFormatting>
  <conditionalFormatting sqref="I2:I36">
    <cfRule type="containsText" dxfId="0" priority="1" operator="containsText" text="Unpaid">
      <formula>NOT(ISERROR(SEARCH("Unpaid",I2)))</formula>
    </cfRule>
  </conditionalFormatting>
  <dataValidations count="3">
    <dataValidation type="list" allowBlank="1" showInputMessage="1" showErrorMessage="1" sqref="D2:D36" xr:uid="{6CAD651B-430F-4958-9C27-F5BFC6E81EE2}">
      <formula1>"In-person,Online"</formula1>
    </dataValidation>
    <dataValidation type="list" allowBlank="1" showInputMessage="1" showErrorMessage="1" sqref="E2:E36" xr:uid="{0A7BABCD-6919-45F8-B5A2-0D2AEAD16584}">
      <formula1>"Individual,Couple,Group"</formula1>
    </dataValidation>
    <dataValidation type="list" allowBlank="1" showInputMessage="1" showErrorMessage="1" sqref="F2:F36" xr:uid="{1FC5030C-1CA3-4B44-A3A5-2EA7E3BB7557}">
      <formula1>"Anxiety,Trauma,Stress,Divorce,Separation,Bereavement,Coping Skills,Couple Differences,Pre-Marital Counselling,Infidelity,Mediation,Career Coaching,Trauma Debriefing"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683F574-D1D6-4F59-8285-4F52D0FD2261}">
          <x14:formula1>
            <xm:f>Sheet7!$B$2:$B$3</xm:f>
          </x14:formula1>
          <xm:sqref>I37:I1048576 I1:I35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0F562-3F31-4B16-A1CB-67B22DD91070}">
  <dimension ref="A1:G13"/>
  <sheetViews>
    <sheetView zoomScale="200" zoomScaleNormal="200" workbookViewId="0">
      <selection activeCell="D11" sqref="D11"/>
    </sheetView>
  </sheetViews>
  <sheetFormatPr defaultRowHeight="15" x14ac:dyDescent="0.25"/>
  <cols>
    <col min="1" max="1" width="14.5703125" style="14" customWidth="1"/>
    <col min="2" max="2" width="18.28515625" style="14" customWidth="1"/>
    <col min="3" max="3" width="10.140625" style="14" customWidth="1"/>
    <col min="4" max="4" width="26.85546875" style="14" customWidth="1"/>
    <col min="6" max="7" width="14.85546875" style="14" customWidth="1"/>
  </cols>
  <sheetData>
    <row r="1" spans="1:7" x14ac:dyDescent="0.25">
      <c r="A1" s="14" t="s">
        <v>10</v>
      </c>
      <c r="B1" s="14" t="s">
        <v>21</v>
      </c>
      <c r="C1" s="14" t="s">
        <v>12</v>
      </c>
      <c r="D1" s="14" t="s">
        <v>11</v>
      </c>
    </row>
    <row r="2" spans="1:7" x14ac:dyDescent="0.25">
      <c r="A2" s="20">
        <v>46054</v>
      </c>
      <c r="B2" s="14" t="s">
        <v>241</v>
      </c>
      <c r="C2" s="38">
        <v>200</v>
      </c>
      <c r="D2" s="14" t="s">
        <v>23</v>
      </c>
      <c r="F2" s="14" t="s">
        <v>21</v>
      </c>
      <c r="G2" s="14" t="s">
        <v>29</v>
      </c>
    </row>
    <row r="3" spans="1:7" x14ac:dyDescent="0.25">
      <c r="A3" s="20">
        <v>46055</v>
      </c>
      <c r="B3" s="14" t="s">
        <v>254</v>
      </c>
      <c r="C3" s="38">
        <v>150</v>
      </c>
      <c r="D3" s="14" t="s">
        <v>25</v>
      </c>
      <c r="F3" s="14" t="s">
        <v>241</v>
      </c>
      <c r="G3" s="38">
        <f>SUMIF(ExpensesTable[Category], "Utilities", ExpensesTable[Amount])</f>
        <v>200</v>
      </c>
    </row>
    <row r="4" spans="1:7" x14ac:dyDescent="0.25">
      <c r="A4" s="20">
        <v>46056</v>
      </c>
      <c r="B4" s="14" t="s">
        <v>242</v>
      </c>
      <c r="C4" s="38">
        <v>250</v>
      </c>
      <c r="D4" s="14" t="s">
        <v>26</v>
      </c>
      <c r="F4" s="14" t="s">
        <v>259</v>
      </c>
      <c r="G4" s="38">
        <f>SUMIF(ExpensesTable[Category], "Miscellaneous", ExpensesTable[Amount])</f>
        <v>0</v>
      </c>
    </row>
    <row r="5" spans="1:7" x14ac:dyDescent="0.25">
      <c r="A5" s="20">
        <v>46058</v>
      </c>
      <c r="B5" s="14" t="s">
        <v>242</v>
      </c>
      <c r="C5" s="38">
        <v>100</v>
      </c>
      <c r="D5" s="14" t="s">
        <v>28</v>
      </c>
      <c r="F5" s="14" t="s">
        <v>258</v>
      </c>
      <c r="G5" s="38">
        <f>SUMIF(ExpensesTable[Category], "Maintanance", ExpensesTable[Amount])</f>
        <v>0</v>
      </c>
    </row>
    <row r="6" spans="1:7" x14ac:dyDescent="0.25">
      <c r="C6" s="38"/>
      <c r="F6" s="14" t="s">
        <v>257</v>
      </c>
      <c r="G6" s="38">
        <f>SUMIF(ExpensesTable[Category], "Repairs", ExpensesTable[Amount])</f>
        <v>0</v>
      </c>
    </row>
    <row r="7" spans="1:7" x14ac:dyDescent="0.25">
      <c r="F7" s="14" t="s">
        <v>256</v>
      </c>
      <c r="G7" s="38">
        <f>SUMIF(ExpensesTable[Category], "Subscription", ExpensesTable[Amount])</f>
        <v>0</v>
      </c>
    </row>
    <row r="8" spans="1:7" x14ac:dyDescent="0.25">
      <c r="F8" s="14" t="s">
        <v>255</v>
      </c>
      <c r="G8" s="38">
        <f>SUMIF(ExpensesTable[Category], "Software", ExpensesTable[Amount])</f>
        <v>0</v>
      </c>
    </row>
    <row r="9" spans="1:7" x14ac:dyDescent="0.25">
      <c r="F9" s="14" t="s">
        <v>254</v>
      </c>
      <c r="G9" s="38">
        <f>SUMIF(ExpensesTable[Category], "Travel", ExpensesTable[Amount])</f>
        <v>150</v>
      </c>
    </row>
    <row r="10" spans="1:7" x14ac:dyDescent="0.25">
      <c r="F10" s="14" t="s">
        <v>242</v>
      </c>
      <c r="G10" s="38">
        <f>SUMIF(ExpensesTable[Category], "Equipment", ExpensesTable[Amount])</f>
        <v>350</v>
      </c>
    </row>
    <row r="11" spans="1:7" x14ac:dyDescent="0.25">
      <c r="F11" s="43" t="s">
        <v>30</v>
      </c>
      <c r="G11" s="44">
        <f>SUM(G3:G10)</f>
        <v>700</v>
      </c>
    </row>
    <row r="12" spans="1:7" x14ac:dyDescent="0.25">
      <c r="F12" s="41" t="s">
        <v>31</v>
      </c>
      <c r="G12" s="42">
        <f>SUM(VisitsTable[Amount])</f>
        <v>17600</v>
      </c>
    </row>
    <row r="13" spans="1:7" x14ac:dyDescent="0.25">
      <c r="F13" s="39" t="s">
        <v>32</v>
      </c>
      <c r="G13" s="40">
        <f>SUM(G12-G11)</f>
        <v>16900</v>
      </c>
    </row>
  </sheetData>
  <dataValidations count="1">
    <dataValidation type="list" allowBlank="1" showInputMessage="1" showErrorMessage="1" sqref="B2:B6" xr:uid="{C0FADD2C-28DE-4D57-B961-5F137722BC28}">
      <formula1>"Office,Utilities,Marketing,Professional Fees,Equipment,Software,Subscriptions,Training,Travel,Repairs,Maintenance,Miscellaneous"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A76F4-741F-4FAB-8059-882A4A687F82}">
  <dimension ref="A1:G200"/>
  <sheetViews>
    <sheetView zoomScale="200" zoomScaleNormal="200" workbookViewId="0">
      <selection activeCell="B1" sqref="B1"/>
    </sheetView>
  </sheetViews>
  <sheetFormatPr defaultRowHeight="15" x14ac:dyDescent="0.25"/>
  <cols>
    <col min="1" max="1" width="18.7109375" customWidth="1"/>
    <col min="2" max="2" width="19.42578125" customWidth="1"/>
    <col min="3" max="3" width="22.42578125" customWidth="1"/>
    <col min="4" max="4" width="15.7109375" customWidth="1"/>
    <col min="5" max="5" width="14.85546875" customWidth="1"/>
  </cols>
  <sheetData>
    <row r="1" spans="1:7" x14ac:dyDescent="0.25">
      <c r="A1" s="7" t="s">
        <v>14</v>
      </c>
      <c r="B1" s="4" t="s">
        <v>260</v>
      </c>
    </row>
    <row r="3" spans="1:7" x14ac:dyDescent="0.25">
      <c r="A3" s="21" t="s">
        <v>15</v>
      </c>
      <c r="B3" s="22" t="str">
        <f>IFERROR(_xlfn.XLOOKUP(B1, PatientsTable[Full_Name], PatientsTable[Patient_ID]), "")</f>
        <v>P001</v>
      </c>
    </row>
    <row r="4" spans="1:7" x14ac:dyDescent="0.25">
      <c r="A4" s="21" t="s">
        <v>16</v>
      </c>
      <c r="B4" s="22" t="str">
        <f>IFERROR(_xlfn.XLOOKUP(B1, PatientsTable[Full_Name], PatientsTable[First_Name]), "")</f>
        <v>Kelly</v>
      </c>
    </row>
    <row r="5" spans="1:7" x14ac:dyDescent="0.25">
      <c r="A5" s="21" t="s">
        <v>17</v>
      </c>
      <c r="B5" s="22" t="str">
        <f>IFERROR(_xlfn.XLOOKUP(B1, PatientsTable[Full_Name], PatientsTable[Last_Name]), "")</f>
        <v>Smith</v>
      </c>
    </row>
    <row r="6" spans="1:7" x14ac:dyDescent="0.25">
      <c r="A6" s="21" t="s">
        <v>18</v>
      </c>
      <c r="B6" s="23">
        <f>IFERROR(_xlfn.XLOOKUP(B1, PatientsTable[Full_Name], PatientsTable[ID_Number]), "")</f>
        <v>9001011234</v>
      </c>
    </row>
    <row r="7" spans="1:7" x14ac:dyDescent="0.25">
      <c r="A7" s="21" t="s">
        <v>5</v>
      </c>
      <c r="B7" s="23" t="str">
        <f>IFERROR(_xlfn.XLOOKUP(B1, PatientsTable[Full_Name], PatientsTable[Phone]), "")</f>
        <v>0821234567</v>
      </c>
    </row>
    <row r="8" spans="1:7" x14ac:dyDescent="0.25">
      <c r="A8" s="21" t="s">
        <v>6</v>
      </c>
      <c r="B8" s="22" t="str">
        <f>IFERROR(_xlfn.XLOOKUP(B1, PatientsTable[Full_Name], PatientsTable[Email]), "")</f>
        <v>kelly@mail.com</v>
      </c>
    </row>
    <row r="9" spans="1:7" x14ac:dyDescent="0.25">
      <c r="A9" s="21" t="s">
        <v>7</v>
      </c>
      <c r="B9" s="22" t="str">
        <f>IFERROR(_xlfn.XLOOKUP(B1, PatientsTable[Full_Name], PatientsTable[Address]), "")</f>
        <v>Pretoria</v>
      </c>
    </row>
    <row r="10" spans="1:7" x14ac:dyDescent="0.25">
      <c r="A10" s="21" t="s">
        <v>19</v>
      </c>
      <c r="B10" s="24">
        <f>IFERROR(_xlfn.XLOOKUP(B1, PatientsTable[Full_Name], PatientsTable[Date_Registered]), "")</f>
        <v>46054</v>
      </c>
    </row>
    <row r="12" spans="1:7" s="1" customFormat="1" ht="30" x14ac:dyDescent="0.25">
      <c r="A12" s="35" t="s">
        <v>10</v>
      </c>
      <c r="B12" s="36" t="s">
        <v>233</v>
      </c>
      <c r="C12" s="36" t="s">
        <v>236</v>
      </c>
      <c r="D12" s="36" t="s">
        <v>243</v>
      </c>
      <c r="E12" s="36" t="s">
        <v>11</v>
      </c>
      <c r="F12" s="36" t="s">
        <v>12</v>
      </c>
      <c r="G12" s="36" t="s">
        <v>20</v>
      </c>
    </row>
    <row r="13" spans="1:7" s="1" customFormat="1" x14ac:dyDescent="0.25">
      <c r="A13" s="37" cm="1">
        <f t="array" ref="A13:G17">IFERROR(_xlfn._xlws.FILTER(VisitsTable[[Date]:[Payment_Status]], VisitsTable[Patient_ID]=_xlfn.XLOOKUP(B1, PatientsTable[Full_Name], PatientsTable[Patient_ID])), "No visits")</f>
        <v>46058</v>
      </c>
      <c r="B13" s="9" t="str">
        <v>In-person</v>
      </c>
      <c r="C13" s="9" t="str">
        <v>Individual</v>
      </c>
      <c r="D13" s="9" t="str">
        <v>Anxiety</v>
      </c>
      <c r="E13" s="9" t="str">
        <v>Bit Late</v>
      </c>
      <c r="F13" s="45">
        <v>500</v>
      </c>
      <c r="G13" s="9" t="str">
        <v>Paid</v>
      </c>
    </row>
    <row r="14" spans="1:7" s="1" customFormat="1" x14ac:dyDescent="0.25">
      <c r="A14" s="37">
        <v>46065</v>
      </c>
      <c r="B14" s="9" t="str">
        <v>Online</v>
      </c>
      <c r="C14" s="9" t="str">
        <v>Individual</v>
      </c>
      <c r="D14" s="9" t="str">
        <v>Stress</v>
      </c>
      <c r="E14" s="9" t="str">
        <v>Shy</v>
      </c>
      <c r="F14" s="45">
        <v>450</v>
      </c>
      <c r="G14" s="9" t="str">
        <v>Paid</v>
      </c>
    </row>
    <row r="15" spans="1:7" s="1" customFormat="1" x14ac:dyDescent="0.25">
      <c r="A15" s="37" t="str">
        <v>05/02/2026</v>
      </c>
      <c r="B15" s="9" t="str">
        <v>In-person</v>
      </c>
      <c r="C15" s="9" t="str">
        <v>Couple</v>
      </c>
      <c r="D15" s="9" t="str">
        <v>Pre-Marital Counselling</v>
      </c>
      <c r="E15" s="9" t="str">
        <v>First session</v>
      </c>
      <c r="F15" s="45">
        <v>500</v>
      </c>
      <c r="G15" s="9" t="str">
        <v>Paid</v>
      </c>
    </row>
    <row r="16" spans="1:7" s="1" customFormat="1" x14ac:dyDescent="0.25">
      <c r="A16" s="37" t="str">
        <v>12/02/2026</v>
      </c>
      <c r="B16" s="9" t="str">
        <v>In-person</v>
      </c>
      <c r="C16" s="9" t="str">
        <v>Group</v>
      </c>
      <c r="D16" s="9" t="str">
        <v>Mediation</v>
      </c>
      <c r="E16" s="9" t="str">
        <v>Anxiety review</v>
      </c>
      <c r="F16" s="45">
        <v>450</v>
      </c>
      <c r="G16" s="9" t="str">
        <v>Paid</v>
      </c>
    </row>
    <row r="17" spans="1:7" s="1" customFormat="1" x14ac:dyDescent="0.25">
      <c r="A17" s="37" t="str">
        <v>19/02/2026</v>
      </c>
      <c r="B17" s="9" t="str">
        <v>In-person</v>
      </c>
      <c r="C17" s="9" t="str">
        <v>Group</v>
      </c>
      <c r="D17" s="9" t="str">
        <v>Mediation</v>
      </c>
      <c r="E17" s="9" t="str">
        <v>Progress check</v>
      </c>
      <c r="F17" s="45">
        <v>450</v>
      </c>
      <c r="G17" s="9" t="str">
        <v>Paid</v>
      </c>
    </row>
    <row r="18" spans="1:7" s="1" customFormat="1" x14ac:dyDescent="0.25">
      <c r="A18" s="37"/>
      <c r="B18" s="9"/>
      <c r="C18" s="9"/>
      <c r="D18" s="9"/>
      <c r="E18" s="9"/>
      <c r="F18" s="45"/>
      <c r="G18" s="9"/>
    </row>
    <row r="19" spans="1:7" s="1" customFormat="1" x14ac:dyDescent="0.25">
      <c r="A19" s="37"/>
      <c r="B19" s="9"/>
      <c r="C19" s="9"/>
      <c r="D19" s="9"/>
      <c r="E19" s="9"/>
      <c r="F19" s="45"/>
      <c r="G19" s="9"/>
    </row>
    <row r="20" spans="1:7" s="1" customFormat="1" x14ac:dyDescent="0.25">
      <c r="A20" s="37"/>
      <c r="B20" s="9"/>
      <c r="C20" s="9"/>
      <c r="D20" s="9"/>
      <c r="E20" s="9"/>
      <c r="F20" s="45"/>
      <c r="G20" s="9"/>
    </row>
    <row r="21" spans="1:7" s="1" customFormat="1" x14ac:dyDescent="0.25">
      <c r="A21" s="37"/>
      <c r="B21" s="9"/>
      <c r="C21" s="9"/>
      <c r="D21" s="9"/>
      <c r="E21" s="9"/>
      <c r="F21" s="45"/>
      <c r="G21" s="9"/>
    </row>
    <row r="22" spans="1:7" s="1" customFormat="1" x14ac:dyDescent="0.25">
      <c r="A22" s="37"/>
      <c r="B22" s="9"/>
      <c r="C22" s="9"/>
      <c r="D22" s="9"/>
      <c r="E22" s="9"/>
      <c r="F22" s="45"/>
      <c r="G22" s="9"/>
    </row>
    <row r="23" spans="1:7" s="1" customFormat="1" x14ac:dyDescent="0.25">
      <c r="A23" s="37"/>
      <c r="B23" s="9"/>
      <c r="C23" s="9"/>
      <c r="D23" s="9"/>
      <c r="E23" s="9"/>
      <c r="F23" s="45"/>
      <c r="G23" s="9"/>
    </row>
    <row r="24" spans="1:7" s="1" customFormat="1" x14ac:dyDescent="0.25">
      <c r="A24" s="37"/>
      <c r="B24" s="9"/>
      <c r="C24" s="9"/>
      <c r="D24" s="9"/>
      <c r="E24" s="9"/>
      <c r="F24" s="45"/>
      <c r="G24" s="9"/>
    </row>
    <row r="25" spans="1:7" s="1" customFormat="1" x14ac:dyDescent="0.25">
      <c r="A25" s="37"/>
      <c r="B25" s="9"/>
      <c r="C25" s="9"/>
      <c r="D25" s="9"/>
      <c r="E25" s="9"/>
      <c r="F25" s="45"/>
      <c r="G25" s="9"/>
    </row>
    <row r="26" spans="1:7" s="1" customFormat="1" x14ac:dyDescent="0.25">
      <c r="A26" s="37"/>
      <c r="B26" s="9"/>
      <c r="C26" s="9"/>
      <c r="D26" s="9"/>
      <c r="E26" s="9"/>
      <c r="F26" s="45"/>
      <c r="G26" s="9"/>
    </row>
    <row r="27" spans="1:7" s="1" customFormat="1" x14ac:dyDescent="0.25">
      <c r="A27" s="37"/>
      <c r="B27" s="9"/>
      <c r="C27" s="9"/>
      <c r="D27" s="9"/>
      <c r="E27" s="9"/>
      <c r="F27" s="45"/>
      <c r="G27" s="9"/>
    </row>
    <row r="28" spans="1:7" s="1" customFormat="1" x14ac:dyDescent="0.25">
      <c r="A28" s="37"/>
      <c r="B28" s="9"/>
      <c r="C28" s="9"/>
      <c r="D28" s="9"/>
      <c r="E28" s="9"/>
      <c r="F28" s="45"/>
      <c r="G28" s="9"/>
    </row>
    <row r="29" spans="1:7" s="1" customFormat="1" x14ac:dyDescent="0.25">
      <c r="A29" s="37"/>
      <c r="B29" s="9"/>
      <c r="C29" s="9"/>
      <c r="D29" s="9"/>
      <c r="E29" s="9"/>
      <c r="F29" s="45"/>
      <c r="G29" s="9"/>
    </row>
    <row r="30" spans="1:7" s="1" customFormat="1" x14ac:dyDescent="0.25">
      <c r="A30" s="37"/>
      <c r="B30" s="9"/>
      <c r="C30" s="9"/>
      <c r="D30" s="9"/>
      <c r="E30" s="9"/>
      <c r="F30" s="45"/>
      <c r="G30" s="9"/>
    </row>
    <row r="31" spans="1:7" s="1" customFormat="1" x14ac:dyDescent="0.25">
      <c r="A31" s="37"/>
      <c r="B31" s="9"/>
      <c r="C31" s="9"/>
      <c r="D31" s="9"/>
      <c r="E31" s="9"/>
      <c r="F31" s="45"/>
      <c r="G31" s="9"/>
    </row>
    <row r="32" spans="1:7" s="1" customFormat="1" x14ac:dyDescent="0.25">
      <c r="A32" s="37"/>
      <c r="B32" s="9"/>
      <c r="C32" s="9"/>
      <c r="D32" s="9"/>
      <c r="E32" s="9"/>
      <c r="F32" s="45"/>
      <c r="G32" s="9"/>
    </row>
    <row r="33" spans="1:7" s="1" customFormat="1" x14ac:dyDescent="0.25">
      <c r="A33" s="37"/>
      <c r="B33" s="9"/>
      <c r="C33" s="9"/>
      <c r="D33" s="9"/>
      <c r="E33" s="9"/>
      <c r="F33" s="45"/>
      <c r="G33" s="9"/>
    </row>
    <row r="34" spans="1:7" s="1" customFormat="1" x14ac:dyDescent="0.25">
      <c r="A34" s="37"/>
      <c r="B34" s="9"/>
      <c r="C34" s="9"/>
      <c r="D34" s="9"/>
      <c r="E34" s="9"/>
      <c r="F34" s="45"/>
      <c r="G34" s="9"/>
    </row>
    <row r="35" spans="1:7" s="1" customFormat="1" x14ac:dyDescent="0.25">
      <c r="A35" s="37"/>
      <c r="B35" s="9"/>
      <c r="C35" s="9"/>
      <c r="D35" s="9"/>
      <c r="E35" s="9"/>
      <c r="F35" s="45"/>
      <c r="G35" s="9"/>
    </row>
    <row r="36" spans="1:7" s="1" customFormat="1" x14ac:dyDescent="0.25">
      <c r="A36" s="37"/>
      <c r="B36" s="9"/>
      <c r="C36" s="9"/>
      <c r="D36" s="9"/>
      <c r="E36" s="9"/>
      <c r="F36" s="45"/>
      <c r="G36" s="9"/>
    </row>
    <row r="37" spans="1:7" s="1" customFormat="1" x14ac:dyDescent="0.25">
      <c r="A37" s="37"/>
      <c r="B37" s="9"/>
      <c r="C37" s="9"/>
      <c r="D37" s="9"/>
      <c r="E37" s="9"/>
      <c r="F37" s="45"/>
      <c r="G37" s="9"/>
    </row>
    <row r="38" spans="1:7" s="1" customFormat="1" x14ac:dyDescent="0.25">
      <c r="A38" s="37"/>
      <c r="B38" s="9"/>
      <c r="C38" s="9"/>
      <c r="D38" s="9"/>
      <c r="E38" s="9"/>
      <c r="F38" s="45"/>
      <c r="G38" s="9"/>
    </row>
    <row r="39" spans="1:7" s="1" customFormat="1" x14ac:dyDescent="0.25">
      <c r="A39" s="37"/>
      <c r="B39" s="9"/>
      <c r="C39" s="9"/>
      <c r="D39" s="9"/>
      <c r="E39" s="9"/>
      <c r="F39" s="45"/>
      <c r="G39" s="9"/>
    </row>
    <row r="40" spans="1:7" s="1" customFormat="1" x14ac:dyDescent="0.25">
      <c r="A40" s="37"/>
      <c r="B40" s="9"/>
      <c r="C40" s="9"/>
      <c r="D40" s="9"/>
      <c r="E40" s="9"/>
      <c r="F40" s="45"/>
      <c r="G40" s="9"/>
    </row>
    <row r="41" spans="1:7" s="1" customFormat="1" x14ac:dyDescent="0.25">
      <c r="A41" s="37"/>
      <c r="B41" s="9"/>
      <c r="C41" s="9"/>
      <c r="D41" s="9"/>
      <c r="E41" s="9"/>
      <c r="F41" s="45"/>
      <c r="G41" s="9"/>
    </row>
    <row r="42" spans="1:7" s="1" customFormat="1" x14ac:dyDescent="0.25">
      <c r="A42" s="37"/>
      <c r="B42" s="9"/>
      <c r="C42" s="9"/>
      <c r="D42" s="9"/>
      <c r="E42" s="9"/>
      <c r="F42" s="45"/>
      <c r="G42" s="9"/>
    </row>
    <row r="43" spans="1:7" s="1" customFormat="1" x14ac:dyDescent="0.25">
      <c r="A43" s="37"/>
      <c r="B43" s="9"/>
      <c r="C43" s="9"/>
      <c r="D43" s="9"/>
      <c r="E43" s="9"/>
      <c r="F43" s="45"/>
      <c r="G43" s="9"/>
    </row>
    <row r="44" spans="1:7" s="1" customFormat="1" x14ac:dyDescent="0.25">
      <c r="A44" s="37"/>
      <c r="B44" s="9"/>
      <c r="C44" s="9"/>
      <c r="D44" s="9"/>
      <c r="E44" s="9"/>
      <c r="F44" s="45"/>
      <c r="G44" s="9"/>
    </row>
    <row r="45" spans="1:7" s="1" customFormat="1" x14ac:dyDescent="0.25">
      <c r="A45" s="37"/>
      <c r="B45" s="9"/>
      <c r="C45" s="9"/>
      <c r="D45" s="9"/>
      <c r="E45" s="9"/>
      <c r="F45" s="45"/>
      <c r="G45" s="9"/>
    </row>
    <row r="46" spans="1:7" s="1" customFormat="1" x14ac:dyDescent="0.25">
      <c r="A46" s="37"/>
      <c r="B46" s="9"/>
      <c r="C46" s="9"/>
      <c r="D46" s="9"/>
      <c r="E46" s="9"/>
      <c r="F46" s="45"/>
      <c r="G46" s="9"/>
    </row>
    <row r="47" spans="1:7" s="1" customFormat="1" x14ac:dyDescent="0.25">
      <c r="A47" s="37"/>
      <c r="B47" s="9"/>
      <c r="C47" s="9"/>
      <c r="D47" s="9"/>
      <c r="E47" s="9"/>
      <c r="F47" s="45"/>
      <c r="G47" s="9"/>
    </row>
    <row r="48" spans="1:7" s="1" customFormat="1" x14ac:dyDescent="0.25">
      <c r="A48" s="37"/>
      <c r="B48" s="9"/>
      <c r="C48" s="9"/>
      <c r="D48" s="9"/>
      <c r="E48" s="9"/>
      <c r="F48" s="45"/>
      <c r="G48" s="9"/>
    </row>
    <row r="49" spans="1:7" s="1" customFormat="1" x14ac:dyDescent="0.25">
      <c r="A49" s="37"/>
      <c r="B49" s="9"/>
      <c r="C49" s="9"/>
      <c r="D49" s="9"/>
      <c r="E49" s="9"/>
      <c r="F49" s="45"/>
      <c r="G49" s="9"/>
    </row>
    <row r="50" spans="1:7" s="1" customFormat="1" x14ac:dyDescent="0.25">
      <c r="A50" s="37"/>
      <c r="B50" s="9"/>
      <c r="C50" s="9"/>
      <c r="D50" s="9"/>
      <c r="E50" s="9"/>
      <c r="F50" s="45"/>
      <c r="G50" s="9"/>
    </row>
    <row r="51" spans="1:7" s="1" customFormat="1" x14ac:dyDescent="0.25">
      <c r="A51" s="37"/>
      <c r="B51" s="9"/>
      <c r="C51" s="9"/>
      <c r="D51" s="9"/>
      <c r="E51" s="9"/>
      <c r="F51" s="45"/>
      <c r="G51" s="9"/>
    </row>
    <row r="52" spans="1:7" s="1" customFormat="1" x14ac:dyDescent="0.25">
      <c r="A52" s="37"/>
      <c r="B52" s="9"/>
      <c r="C52" s="9"/>
      <c r="D52" s="9"/>
      <c r="E52" s="9"/>
      <c r="F52" s="45"/>
      <c r="G52" s="9"/>
    </row>
    <row r="53" spans="1:7" s="1" customFormat="1" x14ac:dyDescent="0.25">
      <c r="A53" s="37"/>
      <c r="B53" s="9"/>
      <c r="C53" s="9"/>
      <c r="D53" s="9"/>
      <c r="E53" s="9"/>
      <c r="F53" s="45"/>
      <c r="G53" s="9"/>
    </row>
    <row r="54" spans="1:7" s="1" customFormat="1" x14ac:dyDescent="0.25">
      <c r="A54" s="37"/>
      <c r="B54" s="9"/>
      <c r="C54" s="9"/>
      <c r="D54" s="9"/>
      <c r="E54" s="9"/>
      <c r="F54" s="45"/>
      <c r="G54" s="9"/>
    </row>
    <row r="55" spans="1:7" s="1" customFormat="1" x14ac:dyDescent="0.25">
      <c r="A55" s="37"/>
      <c r="B55" s="9"/>
      <c r="C55" s="9"/>
      <c r="D55" s="9"/>
      <c r="E55" s="9"/>
      <c r="F55" s="45"/>
      <c r="G55" s="9"/>
    </row>
    <row r="56" spans="1:7" s="1" customFormat="1" x14ac:dyDescent="0.25">
      <c r="A56" s="37"/>
      <c r="B56" s="9"/>
      <c r="C56" s="9"/>
      <c r="D56" s="9"/>
      <c r="E56" s="9"/>
      <c r="F56" s="45"/>
      <c r="G56" s="9"/>
    </row>
    <row r="57" spans="1:7" s="1" customFormat="1" x14ac:dyDescent="0.25">
      <c r="A57" s="37"/>
      <c r="B57" s="9"/>
      <c r="C57" s="9"/>
      <c r="D57" s="9"/>
      <c r="E57" s="9"/>
      <c r="F57" s="45"/>
      <c r="G57" s="9"/>
    </row>
    <row r="58" spans="1:7" s="1" customFormat="1" x14ac:dyDescent="0.25">
      <c r="A58" s="37"/>
      <c r="B58" s="9"/>
      <c r="C58" s="9"/>
      <c r="D58" s="9"/>
      <c r="E58" s="9"/>
      <c r="F58" s="45"/>
      <c r="G58" s="9"/>
    </row>
    <row r="59" spans="1:7" s="1" customFormat="1" x14ac:dyDescent="0.25">
      <c r="A59" s="37"/>
      <c r="B59" s="9"/>
      <c r="C59" s="9"/>
      <c r="D59" s="9"/>
      <c r="E59" s="9"/>
      <c r="F59" s="45"/>
      <c r="G59" s="9"/>
    </row>
    <row r="60" spans="1:7" s="1" customFormat="1" x14ac:dyDescent="0.25">
      <c r="A60" s="37"/>
      <c r="B60" s="9"/>
      <c r="C60" s="9"/>
      <c r="D60" s="9"/>
      <c r="E60" s="9"/>
      <c r="F60" s="45"/>
      <c r="G60" s="9"/>
    </row>
    <row r="61" spans="1:7" s="1" customFormat="1" x14ac:dyDescent="0.25">
      <c r="A61" s="37"/>
      <c r="B61" s="9"/>
      <c r="C61" s="9"/>
      <c r="D61" s="9"/>
      <c r="E61" s="9"/>
      <c r="F61" s="45"/>
      <c r="G61" s="9"/>
    </row>
    <row r="62" spans="1:7" s="1" customFormat="1" x14ac:dyDescent="0.25">
      <c r="A62" s="37"/>
      <c r="B62" s="9"/>
      <c r="C62" s="9"/>
      <c r="D62" s="9"/>
      <c r="E62" s="9"/>
      <c r="F62" s="45"/>
      <c r="G62" s="9"/>
    </row>
    <row r="63" spans="1:7" s="1" customFormat="1" x14ac:dyDescent="0.25">
      <c r="A63" s="37"/>
      <c r="B63" s="9"/>
      <c r="C63" s="9"/>
      <c r="D63" s="9"/>
      <c r="E63" s="9"/>
      <c r="F63" s="45"/>
      <c r="G63" s="9"/>
    </row>
    <row r="64" spans="1:7" s="1" customFormat="1" x14ac:dyDescent="0.25">
      <c r="A64" s="37"/>
      <c r="B64" s="9"/>
      <c r="C64" s="9"/>
      <c r="D64" s="9"/>
      <c r="E64" s="9"/>
      <c r="F64" s="45"/>
      <c r="G64" s="9"/>
    </row>
    <row r="65" spans="1:7" s="1" customFormat="1" x14ac:dyDescent="0.25">
      <c r="A65" s="37"/>
      <c r="B65" s="9"/>
      <c r="C65" s="9"/>
      <c r="D65" s="9"/>
      <c r="E65" s="9"/>
      <c r="F65" s="45"/>
      <c r="G65" s="9"/>
    </row>
    <row r="66" spans="1:7" s="1" customFormat="1" x14ac:dyDescent="0.25">
      <c r="A66" s="37"/>
      <c r="B66" s="9"/>
      <c r="C66" s="9"/>
      <c r="D66" s="9"/>
      <c r="E66" s="9"/>
      <c r="F66" s="45"/>
      <c r="G66" s="9"/>
    </row>
    <row r="67" spans="1:7" s="1" customFormat="1" x14ac:dyDescent="0.25">
      <c r="A67" s="37"/>
      <c r="B67" s="9"/>
      <c r="C67" s="9"/>
      <c r="D67" s="9"/>
      <c r="E67" s="9"/>
      <c r="F67" s="45"/>
      <c r="G67" s="9"/>
    </row>
    <row r="68" spans="1:7" s="1" customFormat="1" x14ac:dyDescent="0.25">
      <c r="A68" s="37"/>
      <c r="B68" s="9"/>
      <c r="C68" s="9"/>
      <c r="D68" s="9"/>
      <c r="E68" s="9"/>
      <c r="F68" s="45"/>
      <c r="G68" s="9"/>
    </row>
    <row r="69" spans="1:7" s="1" customFormat="1" x14ac:dyDescent="0.25">
      <c r="A69" s="37"/>
      <c r="B69" s="9"/>
      <c r="C69" s="9"/>
      <c r="D69" s="9"/>
      <c r="E69" s="9"/>
      <c r="F69" s="45"/>
      <c r="G69" s="9"/>
    </row>
    <row r="70" spans="1:7" s="1" customFormat="1" x14ac:dyDescent="0.25">
      <c r="A70" s="37"/>
      <c r="B70" s="9"/>
      <c r="C70" s="9"/>
      <c r="D70" s="9"/>
      <c r="E70" s="9"/>
      <c r="F70" s="45"/>
      <c r="G70" s="9"/>
    </row>
    <row r="71" spans="1:7" s="1" customFormat="1" x14ac:dyDescent="0.25">
      <c r="A71" s="37"/>
      <c r="B71" s="9"/>
      <c r="C71" s="9"/>
      <c r="D71" s="9"/>
      <c r="E71" s="9"/>
      <c r="F71" s="45"/>
      <c r="G71" s="9"/>
    </row>
    <row r="72" spans="1:7" s="1" customFormat="1" x14ac:dyDescent="0.25">
      <c r="A72" s="37"/>
      <c r="B72" s="9"/>
      <c r="C72" s="9"/>
      <c r="D72" s="9"/>
      <c r="E72" s="9"/>
      <c r="F72" s="45"/>
      <c r="G72" s="9"/>
    </row>
    <row r="73" spans="1:7" s="1" customFormat="1" x14ac:dyDescent="0.25">
      <c r="A73" s="37"/>
      <c r="B73" s="9"/>
      <c r="C73" s="9"/>
      <c r="D73" s="9"/>
      <c r="E73" s="9"/>
      <c r="F73" s="45"/>
      <c r="G73" s="9"/>
    </row>
    <row r="74" spans="1:7" s="1" customFormat="1" x14ac:dyDescent="0.25">
      <c r="A74" s="37"/>
      <c r="B74" s="9"/>
      <c r="C74" s="9"/>
      <c r="D74" s="9"/>
      <c r="E74" s="9"/>
      <c r="F74" s="45"/>
      <c r="G74" s="9"/>
    </row>
    <row r="75" spans="1:7" s="1" customFormat="1" x14ac:dyDescent="0.25">
      <c r="A75" s="37"/>
      <c r="B75" s="9"/>
      <c r="C75" s="9"/>
      <c r="D75" s="9"/>
      <c r="E75" s="9"/>
      <c r="F75" s="45"/>
      <c r="G75" s="9"/>
    </row>
    <row r="76" spans="1:7" s="1" customFormat="1" x14ac:dyDescent="0.25">
      <c r="A76" s="37"/>
      <c r="B76" s="9"/>
      <c r="C76" s="9"/>
      <c r="D76" s="9"/>
      <c r="E76" s="9"/>
      <c r="F76" s="45"/>
      <c r="G76" s="9"/>
    </row>
    <row r="77" spans="1:7" s="1" customFormat="1" x14ac:dyDescent="0.25">
      <c r="A77" s="37"/>
      <c r="B77" s="9"/>
      <c r="C77" s="9"/>
      <c r="D77" s="9"/>
      <c r="E77" s="9"/>
      <c r="F77" s="45"/>
      <c r="G77" s="9"/>
    </row>
    <row r="78" spans="1:7" s="1" customFormat="1" x14ac:dyDescent="0.25">
      <c r="A78" s="37"/>
      <c r="B78" s="9"/>
      <c r="C78" s="9"/>
      <c r="D78" s="9"/>
      <c r="E78" s="9"/>
      <c r="F78" s="45"/>
      <c r="G78" s="9"/>
    </row>
    <row r="79" spans="1:7" s="1" customFormat="1" x14ac:dyDescent="0.25">
      <c r="A79" s="37"/>
      <c r="B79" s="9"/>
      <c r="C79" s="9"/>
      <c r="D79" s="9"/>
      <c r="E79" s="9"/>
      <c r="F79" s="45"/>
      <c r="G79" s="9"/>
    </row>
    <row r="80" spans="1:7" s="1" customFormat="1" x14ac:dyDescent="0.25">
      <c r="A80" s="37"/>
      <c r="B80" s="9"/>
      <c r="C80" s="9"/>
      <c r="D80" s="9"/>
      <c r="E80" s="9"/>
      <c r="F80" s="45"/>
      <c r="G80" s="9"/>
    </row>
    <row r="81" spans="1:7" s="1" customFormat="1" x14ac:dyDescent="0.25">
      <c r="A81" s="37"/>
      <c r="B81" s="9"/>
      <c r="C81" s="9"/>
      <c r="D81" s="9"/>
      <c r="E81" s="9"/>
      <c r="F81" s="45"/>
      <c r="G81" s="9"/>
    </row>
    <row r="82" spans="1:7" s="1" customFormat="1" x14ac:dyDescent="0.25">
      <c r="A82" s="37"/>
      <c r="B82" s="9"/>
      <c r="C82" s="9"/>
      <c r="D82" s="9"/>
      <c r="E82" s="9"/>
      <c r="F82" s="45"/>
      <c r="G82" s="9"/>
    </row>
    <row r="83" spans="1:7" s="1" customFormat="1" x14ac:dyDescent="0.25">
      <c r="A83" s="37"/>
      <c r="B83" s="9"/>
      <c r="C83" s="9"/>
      <c r="D83" s="9"/>
      <c r="E83" s="9"/>
      <c r="F83" s="45"/>
      <c r="G83" s="9"/>
    </row>
    <row r="84" spans="1:7" s="1" customFormat="1" x14ac:dyDescent="0.25">
      <c r="A84" s="37"/>
      <c r="B84" s="9"/>
      <c r="C84" s="9"/>
      <c r="D84" s="9"/>
      <c r="E84" s="9"/>
      <c r="F84" s="45"/>
      <c r="G84" s="9"/>
    </row>
    <row r="85" spans="1:7" s="1" customFormat="1" x14ac:dyDescent="0.25">
      <c r="A85" s="37"/>
      <c r="B85" s="9"/>
      <c r="C85" s="9"/>
      <c r="D85" s="9"/>
      <c r="E85" s="9"/>
      <c r="F85" s="45"/>
      <c r="G85" s="9"/>
    </row>
    <row r="86" spans="1:7" s="1" customFormat="1" x14ac:dyDescent="0.25">
      <c r="A86" s="37"/>
      <c r="B86" s="9"/>
      <c r="C86" s="9"/>
      <c r="D86" s="9"/>
      <c r="E86" s="9"/>
      <c r="F86" s="45"/>
      <c r="G86" s="9"/>
    </row>
    <row r="87" spans="1:7" s="1" customFormat="1" x14ac:dyDescent="0.25">
      <c r="A87" s="37"/>
      <c r="B87" s="9"/>
      <c r="C87" s="9"/>
      <c r="D87" s="9"/>
      <c r="E87" s="9"/>
      <c r="F87" s="45"/>
      <c r="G87" s="9"/>
    </row>
    <row r="88" spans="1:7" s="1" customFormat="1" x14ac:dyDescent="0.25">
      <c r="A88" s="37"/>
      <c r="B88" s="9"/>
      <c r="C88" s="9"/>
      <c r="D88" s="9"/>
      <c r="E88" s="9"/>
      <c r="F88" s="45"/>
      <c r="G88" s="9"/>
    </row>
    <row r="89" spans="1:7" s="1" customFormat="1" x14ac:dyDescent="0.25">
      <c r="A89" s="37"/>
      <c r="B89" s="9"/>
      <c r="C89" s="9"/>
      <c r="D89" s="9"/>
      <c r="E89" s="9"/>
      <c r="F89" s="45"/>
      <c r="G89" s="9"/>
    </row>
    <row r="90" spans="1:7" s="1" customFormat="1" x14ac:dyDescent="0.25">
      <c r="A90" s="37"/>
      <c r="B90" s="9"/>
      <c r="C90" s="9"/>
      <c r="D90" s="9"/>
      <c r="E90" s="9"/>
      <c r="F90" s="45"/>
      <c r="G90" s="9"/>
    </row>
    <row r="91" spans="1:7" s="1" customFormat="1" x14ac:dyDescent="0.25">
      <c r="A91" s="37"/>
      <c r="B91" s="9"/>
      <c r="C91" s="9"/>
      <c r="D91" s="9"/>
      <c r="E91" s="9"/>
      <c r="F91" s="45"/>
      <c r="G91" s="9"/>
    </row>
    <row r="92" spans="1:7" s="1" customFormat="1" x14ac:dyDescent="0.25">
      <c r="A92" s="37"/>
      <c r="B92" s="9"/>
      <c r="C92" s="9"/>
      <c r="D92" s="9"/>
      <c r="E92" s="9"/>
      <c r="F92" s="45"/>
      <c r="G92" s="9"/>
    </row>
    <row r="93" spans="1:7" s="1" customFormat="1" x14ac:dyDescent="0.25">
      <c r="A93" s="37"/>
      <c r="B93" s="9"/>
      <c r="C93" s="9"/>
      <c r="D93" s="9"/>
      <c r="E93" s="9"/>
      <c r="F93" s="45"/>
      <c r="G93" s="9"/>
    </row>
    <row r="94" spans="1:7" s="1" customFormat="1" x14ac:dyDescent="0.25">
      <c r="A94" s="37"/>
      <c r="B94" s="9"/>
      <c r="C94" s="9"/>
      <c r="D94" s="9"/>
      <c r="E94" s="9"/>
      <c r="F94" s="45"/>
      <c r="G94" s="9"/>
    </row>
    <row r="95" spans="1:7" s="1" customFormat="1" x14ac:dyDescent="0.25">
      <c r="A95" s="37"/>
      <c r="B95" s="9"/>
      <c r="C95" s="9"/>
      <c r="D95" s="9"/>
      <c r="E95" s="9"/>
      <c r="F95" s="45"/>
      <c r="G95" s="9"/>
    </row>
    <row r="96" spans="1:7" s="1" customFormat="1" x14ac:dyDescent="0.25">
      <c r="A96" s="37"/>
      <c r="B96" s="9"/>
      <c r="C96" s="9"/>
      <c r="D96" s="9"/>
      <c r="E96" s="9"/>
      <c r="F96" s="45"/>
      <c r="G96" s="9"/>
    </row>
    <row r="97" spans="1:7" s="1" customFormat="1" x14ac:dyDescent="0.25">
      <c r="A97" s="37"/>
      <c r="B97" s="9"/>
      <c r="C97" s="9"/>
      <c r="D97" s="9"/>
      <c r="E97" s="9"/>
      <c r="F97" s="45"/>
      <c r="G97" s="9"/>
    </row>
    <row r="98" spans="1:7" s="1" customFormat="1" x14ac:dyDescent="0.25">
      <c r="A98" s="37"/>
      <c r="B98" s="9"/>
      <c r="C98" s="9"/>
      <c r="D98" s="9"/>
      <c r="E98" s="9"/>
      <c r="F98" s="45"/>
      <c r="G98" s="9"/>
    </row>
    <row r="99" spans="1:7" s="1" customFormat="1" x14ac:dyDescent="0.25">
      <c r="A99" s="37"/>
      <c r="B99" s="9"/>
      <c r="C99" s="9"/>
      <c r="D99" s="9"/>
      <c r="E99" s="9"/>
      <c r="F99" s="45"/>
      <c r="G99" s="9"/>
    </row>
    <row r="100" spans="1:7" s="1" customFormat="1" x14ac:dyDescent="0.25">
      <c r="A100" s="37"/>
      <c r="B100" s="9"/>
      <c r="C100" s="9"/>
      <c r="D100" s="9"/>
      <c r="E100" s="9"/>
      <c r="F100" s="45"/>
      <c r="G100" s="9"/>
    </row>
    <row r="101" spans="1:7" s="1" customFormat="1" x14ac:dyDescent="0.25">
      <c r="A101" s="37"/>
      <c r="B101" s="9"/>
      <c r="C101" s="9"/>
      <c r="D101" s="9"/>
      <c r="E101" s="9"/>
      <c r="F101" s="45"/>
      <c r="G101" s="9"/>
    </row>
    <row r="102" spans="1:7" s="1" customFormat="1" x14ac:dyDescent="0.25">
      <c r="A102" s="37"/>
      <c r="B102" s="9"/>
      <c r="C102" s="9"/>
      <c r="D102" s="9"/>
      <c r="E102" s="9"/>
      <c r="F102" s="45"/>
      <c r="G102" s="9"/>
    </row>
    <row r="103" spans="1:7" s="1" customFormat="1" x14ac:dyDescent="0.25">
      <c r="A103" s="37"/>
      <c r="B103" s="9"/>
      <c r="C103" s="9"/>
      <c r="D103" s="9"/>
      <c r="E103" s="9"/>
      <c r="F103" s="45"/>
      <c r="G103" s="9"/>
    </row>
    <row r="104" spans="1:7" s="1" customFormat="1" x14ac:dyDescent="0.25">
      <c r="A104" s="37"/>
      <c r="B104" s="9"/>
      <c r="C104" s="9"/>
      <c r="D104" s="9"/>
      <c r="E104" s="9"/>
      <c r="F104" s="45"/>
      <c r="G104" s="9"/>
    </row>
    <row r="105" spans="1:7" s="1" customFormat="1" x14ac:dyDescent="0.25">
      <c r="A105" s="37"/>
      <c r="B105" s="9"/>
      <c r="C105" s="9"/>
      <c r="D105" s="9"/>
      <c r="E105" s="9"/>
      <c r="F105" s="45"/>
      <c r="G105" s="9"/>
    </row>
    <row r="106" spans="1:7" s="1" customFormat="1" x14ac:dyDescent="0.25">
      <c r="A106" s="37"/>
      <c r="B106" s="9"/>
      <c r="C106" s="9"/>
      <c r="D106" s="9"/>
      <c r="E106" s="9"/>
      <c r="F106" s="45"/>
      <c r="G106" s="9"/>
    </row>
    <row r="107" spans="1:7" s="1" customFormat="1" x14ac:dyDescent="0.25">
      <c r="A107" s="37"/>
      <c r="B107" s="9"/>
      <c r="C107" s="9"/>
      <c r="D107" s="9"/>
      <c r="E107" s="9"/>
      <c r="F107" s="45"/>
      <c r="G107" s="9"/>
    </row>
    <row r="108" spans="1:7" s="1" customFormat="1" x14ac:dyDescent="0.25">
      <c r="A108" s="37"/>
      <c r="B108" s="9"/>
      <c r="C108" s="9"/>
      <c r="D108" s="9"/>
      <c r="E108" s="9"/>
      <c r="F108" s="45"/>
      <c r="G108" s="9"/>
    </row>
    <row r="109" spans="1:7" s="1" customFormat="1" x14ac:dyDescent="0.25">
      <c r="A109" s="37"/>
      <c r="B109" s="9"/>
      <c r="C109" s="9"/>
      <c r="D109" s="9"/>
      <c r="E109" s="9"/>
      <c r="F109" s="45"/>
      <c r="G109" s="9"/>
    </row>
    <row r="110" spans="1:7" s="1" customFormat="1" x14ac:dyDescent="0.25">
      <c r="A110" s="37"/>
      <c r="B110" s="9"/>
      <c r="C110" s="9"/>
      <c r="D110" s="9"/>
      <c r="E110" s="9"/>
      <c r="F110" s="45"/>
      <c r="G110" s="9"/>
    </row>
    <row r="111" spans="1:7" s="1" customFormat="1" x14ac:dyDescent="0.25">
      <c r="A111" s="37"/>
      <c r="B111" s="9"/>
      <c r="C111" s="9"/>
      <c r="D111" s="9"/>
      <c r="E111" s="9"/>
      <c r="F111" s="45"/>
      <c r="G111" s="9"/>
    </row>
    <row r="112" spans="1:7" s="1" customFormat="1" x14ac:dyDescent="0.25">
      <c r="A112" s="37"/>
      <c r="B112" s="9"/>
      <c r="C112" s="9"/>
      <c r="D112" s="9"/>
      <c r="E112" s="9"/>
      <c r="F112" s="45"/>
      <c r="G112" s="9"/>
    </row>
    <row r="113" spans="1:7" s="1" customFormat="1" x14ac:dyDescent="0.25">
      <c r="A113" s="37"/>
      <c r="B113" s="9"/>
      <c r="C113" s="9"/>
      <c r="D113" s="9"/>
      <c r="E113" s="9"/>
      <c r="F113" s="45"/>
      <c r="G113" s="9"/>
    </row>
    <row r="114" spans="1:7" s="1" customFormat="1" x14ac:dyDescent="0.25">
      <c r="A114" s="37"/>
      <c r="B114" s="9"/>
      <c r="C114" s="9"/>
      <c r="D114" s="9"/>
      <c r="E114" s="9"/>
      <c r="F114" s="45"/>
      <c r="G114" s="9"/>
    </row>
    <row r="115" spans="1:7" s="1" customFormat="1" x14ac:dyDescent="0.25">
      <c r="A115" s="37"/>
      <c r="B115" s="9"/>
      <c r="C115" s="9"/>
      <c r="D115" s="9"/>
      <c r="E115" s="9"/>
      <c r="F115" s="45"/>
      <c r="G115" s="9"/>
    </row>
    <row r="116" spans="1:7" s="1" customFormat="1" x14ac:dyDescent="0.25">
      <c r="A116" s="37"/>
      <c r="B116" s="9"/>
      <c r="C116" s="9"/>
      <c r="D116" s="9"/>
      <c r="E116" s="9"/>
      <c r="F116" s="45"/>
      <c r="G116" s="9"/>
    </row>
    <row r="117" spans="1:7" s="1" customFormat="1" x14ac:dyDescent="0.25">
      <c r="A117" s="37"/>
      <c r="B117" s="9"/>
      <c r="C117" s="9"/>
      <c r="D117" s="9"/>
      <c r="E117" s="9"/>
      <c r="F117" s="45"/>
      <c r="G117" s="9"/>
    </row>
    <row r="118" spans="1:7" s="1" customFormat="1" x14ac:dyDescent="0.25">
      <c r="A118" s="37"/>
      <c r="B118" s="9"/>
      <c r="C118" s="9"/>
      <c r="D118" s="9"/>
      <c r="E118" s="9"/>
      <c r="F118" s="45"/>
      <c r="G118" s="9"/>
    </row>
    <row r="119" spans="1:7" s="1" customFormat="1" x14ac:dyDescent="0.25">
      <c r="A119" s="37"/>
      <c r="B119" s="9"/>
      <c r="C119" s="9"/>
      <c r="D119" s="9"/>
      <c r="E119" s="9"/>
      <c r="F119" s="45"/>
      <c r="G119" s="9"/>
    </row>
    <row r="120" spans="1:7" s="1" customFormat="1" x14ac:dyDescent="0.25">
      <c r="A120" s="37"/>
      <c r="B120" s="9"/>
      <c r="C120" s="9"/>
      <c r="D120" s="9"/>
      <c r="E120" s="9"/>
      <c r="F120" s="45"/>
      <c r="G120" s="9"/>
    </row>
    <row r="121" spans="1:7" s="1" customFormat="1" x14ac:dyDescent="0.25">
      <c r="A121" s="37"/>
      <c r="B121" s="9"/>
      <c r="C121" s="9"/>
      <c r="D121" s="9"/>
      <c r="E121" s="9"/>
      <c r="F121" s="45"/>
      <c r="G121" s="9"/>
    </row>
    <row r="122" spans="1:7" s="1" customFormat="1" x14ac:dyDescent="0.25">
      <c r="A122" s="37"/>
      <c r="B122" s="9"/>
      <c r="C122" s="9"/>
      <c r="D122" s="9"/>
      <c r="E122" s="9"/>
      <c r="F122" s="45"/>
      <c r="G122" s="9"/>
    </row>
    <row r="123" spans="1:7" s="1" customFormat="1" x14ac:dyDescent="0.25">
      <c r="A123" s="37"/>
      <c r="B123" s="9"/>
      <c r="C123" s="9"/>
      <c r="D123" s="9"/>
      <c r="E123" s="9"/>
      <c r="F123" s="45"/>
      <c r="G123" s="9"/>
    </row>
    <row r="124" spans="1:7" s="1" customFormat="1" x14ac:dyDescent="0.25">
      <c r="A124" s="37"/>
      <c r="B124" s="9"/>
      <c r="C124" s="9"/>
      <c r="D124" s="9"/>
      <c r="E124" s="9"/>
      <c r="F124" s="45"/>
      <c r="G124" s="9"/>
    </row>
    <row r="125" spans="1:7" s="1" customFormat="1" x14ac:dyDescent="0.25">
      <c r="A125" s="37"/>
      <c r="B125" s="9"/>
      <c r="C125" s="9"/>
      <c r="D125" s="9"/>
      <c r="E125" s="9"/>
      <c r="F125" s="45"/>
      <c r="G125" s="9"/>
    </row>
    <row r="126" spans="1:7" s="1" customFormat="1" x14ac:dyDescent="0.25">
      <c r="A126" s="37"/>
      <c r="B126" s="9"/>
      <c r="C126" s="9"/>
      <c r="D126" s="9"/>
      <c r="E126" s="9"/>
      <c r="F126" s="45"/>
      <c r="G126" s="9"/>
    </row>
    <row r="127" spans="1:7" s="1" customFormat="1" x14ac:dyDescent="0.25">
      <c r="A127" s="37"/>
      <c r="B127" s="9"/>
      <c r="C127" s="9"/>
      <c r="D127" s="9"/>
      <c r="E127" s="9"/>
      <c r="F127" s="45"/>
      <c r="G127" s="9"/>
    </row>
    <row r="128" spans="1:7" s="1" customFormat="1" x14ac:dyDescent="0.25">
      <c r="A128" s="37"/>
      <c r="B128" s="9"/>
      <c r="C128" s="9"/>
      <c r="D128" s="9"/>
      <c r="E128" s="9"/>
      <c r="F128" s="45"/>
      <c r="G128" s="9"/>
    </row>
    <row r="129" spans="1:7" s="1" customFormat="1" x14ac:dyDescent="0.25">
      <c r="A129" s="37"/>
      <c r="B129" s="9"/>
      <c r="C129" s="9"/>
      <c r="D129" s="9"/>
      <c r="E129" s="9"/>
      <c r="F129" s="45"/>
      <c r="G129" s="9"/>
    </row>
    <row r="130" spans="1:7" s="1" customFormat="1" x14ac:dyDescent="0.25">
      <c r="A130" s="37"/>
      <c r="B130" s="9"/>
      <c r="C130" s="9"/>
      <c r="D130" s="9"/>
      <c r="E130" s="9"/>
      <c r="F130" s="45"/>
      <c r="G130" s="9"/>
    </row>
    <row r="131" spans="1:7" s="1" customFormat="1" x14ac:dyDescent="0.25">
      <c r="A131" s="37"/>
      <c r="B131" s="9"/>
      <c r="C131" s="9"/>
      <c r="D131" s="9"/>
      <c r="E131" s="9"/>
      <c r="F131" s="45"/>
      <c r="G131" s="9"/>
    </row>
    <row r="132" spans="1:7" s="1" customFormat="1" x14ac:dyDescent="0.25">
      <c r="A132" s="37"/>
      <c r="B132" s="9"/>
      <c r="C132" s="9"/>
      <c r="D132" s="9"/>
      <c r="E132" s="9"/>
      <c r="F132" s="45"/>
      <c r="G132" s="9"/>
    </row>
    <row r="133" spans="1:7" s="1" customFormat="1" x14ac:dyDescent="0.25">
      <c r="A133" s="37"/>
      <c r="B133" s="9"/>
      <c r="C133" s="9"/>
      <c r="D133" s="9"/>
      <c r="E133" s="9"/>
      <c r="F133" s="45"/>
      <c r="G133" s="9"/>
    </row>
    <row r="134" spans="1:7" s="1" customFormat="1" x14ac:dyDescent="0.25">
      <c r="A134" s="37"/>
      <c r="B134" s="9"/>
      <c r="C134" s="9"/>
      <c r="D134" s="9"/>
      <c r="E134" s="9"/>
      <c r="F134" s="45"/>
      <c r="G134" s="9"/>
    </row>
    <row r="135" spans="1:7" s="1" customFormat="1" x14ac:dyDescent="0.25">
      <c r="A135" s="37"/>
      <c r="B135" s="9"/>
      <c r="C135" s="9"/>
      <c r="D135" s="9"/>
      <c r="E135" s="9"/>
      <c r="F135" s="45"/>
      <c r="G135" s="9"/>
    </row>
    <row r="136" spans="1:7" s="1" customFormat="1" x14ac:dyDescent="0.25">
      <c r="A136" s="37"/>
      <c r="B136" s="9"/>
      <c r="C136" s="9"/>
      <c r="D136" s="9"/>
      <c r="E136" s="9"/>
      <c r="F136" s="45"/>
      <c r="G136" s="9"/>
    </row>
    <row r="137" spans="1:7" s="1" customFormat="1" x14ac:dyDescent="0.25">
      <c r="A137" s="37"/>
      <c r="B137" s="9"/>
      <c r="C137" s="9"/>
      <c r="D137" s="9"/>
      <c r="E137" s="9"/>
      <c r="F137" s="45"/>
      <c r="G137" s="9"/>
    </row>
    <row r="138" spans="1:7" s="1" customFormat="1" x14ac:dyDescent="0.25">
      <c r="A138" s="37"/>
      <c r="B138" s="9"/>
      <c r="C138" s="9"/>
      <c r="D138" s="9"/>
      <c r="E138" s="9"/>
      <c r="F138" s="45"/>
      <c r="G138" s="9"/>
    </row>
    <row r="139" spans="1:7" s="1" customFormat="1" x14ac:dyDescent="0.25">
      <c r="A139" s="37"/>
      <c r="B139" s="9"/>
      <c r="C139" s="9"/>
      <c r="D139" s="9"/>
      <c r="E139" s="9"/>
      <c r="F139" s="45"/>
      <c r="G139" s="9"/>
    </row>
    <row r="140" spans="1:7" s="1" customFormat="1" x14ac:dyDescent="0.25">
      <c r="A140" s="37"/>
      <c r="B140" s="9"/>
      <c r="C140" s="9"/>
      <c r="D140" s="9"/>
      <c r="E140" s="9"/>
      <c r="F140" s="45"/>
      <c r="G140" s="9"/>
    </row>
    <row r="141" spans="1:7" s="1" customFormat="1" x14ac:dyDescent="0.25">
      <c r="A141" s="37"/>
      <c r="B141" s="9"/>
      <c r="C141" s="9"/>
      <c r="D141" s="9"/>
      <c r="E141" s="9"/>
      <c r="F141" s="45"/>
      <c r="G141" s="9"/>
    </row>
    <row r="142" spans="1:7" s="1" customFormat="1" x14ac:dyDescent="0.25">
      <c r="A142" s="37"/>
      <c r="B142" s="9"/>
      <c r="C142" s="9"/>
      <c r="D142" s="9"/>
      <c r="E142" s="9"/>
      <c r="F142" s="45"/>
      <c r="G142" s="9"/>
    </row>
    <row r="143" spans="1:7" s="1" customFormat="1" x14ac:dyDescent="0.25">
      <c r="A143" s="37"/>
      <c r="B143" s="9"/>
      <c r="C143" s="9"/>
      <c r="D143" s="9"/>
      <c r="E143" s="9"/>
      <c r="F143" s="45"/>
      <c r="G143" s="9"/>
    </row>
    <row r="144" spans="1:7" s="1" customFormat="1" x14ac:dyDescent="0.25">
      <c r="A144" s="37"/>
      <c r="B144" s="9"/>
      <c r="C144" s="9"/>
      <c r="D144" s="9"/>
      <c r="E144" s="9"/>
      <c r="F144" s="45"/>
      <c r="G144" s="9"/>
    </row>
    <row r="145" spans="1:7" s="1" customFormat="1" x14ac:dyDescent="0.25">
      <c r="A145" s="37"/>
      <c r="B145" s="9"/>
      <c r="C145" s="9"/>
      <c r="D145" s="9"/>
      <c r="E145" s="9"/>
      <c r="F145" s="45"/>
      <c r="G145" s="9"/>
    </row>
    <row r="146" spans="1:7" s="1" customFormat="1" x14ac:dyDescent="0.25">
      <c r="A146" s="37"/>
      <c r="B146" s="9"/>
      <c r="C146" s="9"/>
      <c r="D146" s="9"/>
      <c r="E146" s="9"/>
      <c r="F146" s="45"/>
      <c r="G146" s="9"/>
    </row>
    <row r="147" spans="1:7" s="1" customFormat="1" x14ac:dyDescent="0.25">
      <c r="A147" s="37"/>
      <c r="B147" s="9"/>
      <c r="C147" s="9"/>
      <c r="D147" s="9"/>
      <c r="E147" s="9"/>
      <c r="F147" s="45"/>
      <c r="G147" s="9"/>
    </row>
    <row r="148" spans="1:7" s="1" customFormat="1" x14ac:dyDescent="0.25">
      <c r="A148" s="37"/>
      <c r="B148" s="9"/>
      <c r="C148" s="9"/>
      <c r="D148" s="9"/>
      <c r="E148" s="9"/>
      <c r="F148" s="45"/>
      <c r="G148" s="9"/>
    </row>
    <row r="149" spans="1:7" s="1" customFormat="1" x14ac:dyDescent="0.25">
      <c r="A149" s="37"/>
      <c r="B149" s="9"/>
      <c r="C149" s="9"/>
      <c r="D149" s="9"/>
      <c r="E149" s="9"/>
      <c r="F149" s="45"/>
      <c r="G149" s="9"/>
    </row>
    <row r="150" spans="1:7" s="1" customFormat="1" x14ac:dyDescent="0.25">
      <c r="A150" s="37"/>
      <c r="B150" s="9"/>
      <c r="C150" s="9"/>
      <c r="D150" s="9"/>
      <c r="E150" s="9"/>
      <c r="F150" s="45"/>
      <c r="G150" s="9"/>
    </row>
    <row r="151" spans="1:7" s="1" customFormat="1" x14ac:dyDescent="0.25">
      <c r="A151" s="37"/>
      <c r="B151" s="9"/>
      <c r="C151" s="9"/>
      <c r="D151" s="9"/>
      <c r="E151" s="9"/>
      <c r="F151" s="45"/>
      <c r="G151" s="9"/>
    </row>
    <row r="152" spans="1:7" s="1" customFormat="1" x14ac:dyDescent="0.25">
      <c r="A152" s="37"/>
      <c r="B152" s="9"/>
      <c r="C152" s="9"/>
      <c r="D152" s="9"/>
      <c r="E152" s="9"/>
      <c r="F152" s="45"/>
      <c r="G152" s="9"/>
    </row>
    <row r="153" spans="1:7" s="1" customFormat="1" x14ac:dyDescent="0.25">
      <c r="A153" s="37"/>
      <c r="B153" s="9"/>
      <c r="C153" s="9"/>
      <c r="D153" s="9"/>
      <c r="E153" s="9"/>
      <c r="F153" s="45"/>
      <c r="G153" s="9"/>
    </row>
    <row r="154" spans="1:7" s="1" customFormat="1" x14ac:dyDescent="0.25">
      <c r="A154" s="37"/>
      <c r="B154" s="9"/>
      <c r="C154" s="9"/>
      <c r="D154" s="9"/>
      <c r="E154" s="9"/>
      <c r="F154" s="45"/>
      <c r="G154" s="9"/>
    </row>
    <row r="155" spans="1:7" s="1" customFormat="1" x14ac:dyDescent="0.25">
      <c r="A155" s="37"/>
      <c r="B155" s="9"/>
      <c r="C155" s="9"/>
      <c r="D155" s="9"/>
      <c r="E155" s="9"/>
      <c r="F155" s="45"/>
      <c r="G155" s="9"/>
    </row>
    <row r="156" spans="1:7" s="1" customFormat="1" x14ac:dyDescent="0.25">
      <c r="A156" s="37"/>
      <c r="B156" s="9"/>
      <c r="C156" s="9"/>
      <c r="D156" s="9"/>
      <c r="E156" s="9"/>
      <c r="F156" s="45"/>
      <c r="G156" s="9"/>
    </row>
    <row r="157" spans="1:7" s="1" customFormat="1" x14ac:dyDescent="0.25">
      <c r="A157" s="37"/>
      <c r="B157" s="9"/>
      <c r="C157" s="9"/>
      <c r="D157" s="9"/>
      <c r="E157" s="9"/>
      <c r="F157" s="45"/>
      <c r="G157" s="9"/>
    </row>
    <row r="158" spans="1:7" s="1" customFormat="1" x14ac:dyDescent="0.25">
      <c r="A158" s="37"/>
      <c r="B158" s="9"/>
      <c r="C158" s="9"/>
      <c r="D158" s="9"/>
      <c r="E158" s="9"/>
      <c r="F158" s="45"/>
      <c r="G158" s="9"/>
    </row>
    <row r="159" spans="1:7" s="1" customFormat="1" x14ac:dyDescent="0.25">
      <c r="A159" s="37"/>
      <c r="B159" s="9"/>
      <c r="C159" s="9"/>
      <c r="D159" s="9"/>
      <c r="E159" s="9"/>
      <c r="F159" s="45"/>
      <c r="G159" s="9"/>
    </row>
    <row r="160" spans="1:7" s="1" customFormat="1" x14ac:dyDescent="0.25">
      <c r="A160" s="37"/>
      <c r="B160" s="9"/>
      <c r="C160" s="9"/>
      <c r="D160" s="9"/>
      <c r="E160" s="9"/>
      <c r="F160" s="45"/>
      <c r="G160" s="9"/>
    </row>
    <row r="161" spans="1:7" s="1" customFormat="1" x14ac:dyDescent="0.25">
      <c r="A161" s="37"/>
      <c r="B161" s="9"/>
      <c r="C161" s="9"/>
      <c r="D161" s="9"/>
      <c r="E161" s="9"/>
      <c r="F161" s="45"/>
      <c r="G161" s="9"/>
    </row>
    <row r="162" spans="1:7" s="1" customFormat="1" x14ac:dyDescent="0.25">
      <c r="A162" s="37"/>
      <c r="B162" s="9"/>
      <c r="C162" s="9"/>
      <c r="D162" s="9"/>
      <c r="E162" s="9"/>
      <c r="F162" s="45"/>
      <c r="G162" s="9"/>
    </row>
    <row r="163" spans="1:7" s="1" customFormat="1" x14ac:dyDescent="0.25">
      <c r="A163" s="37"/>
      <c r="B163" s="9"/>
      <c r="C163" s="9"/>
      <c r="D163" s="9"/>
      <c r="E163" s="9"/>
      <c r="F163" s="45"/>
      <c r="G163" s="9"/>
    </row>
    <row r="164" spans="1:7" s="1" customFormat="1" x14ac:dyDescent="0.25">
      <c r="A164" s="37"/>
      <c r="B164" s="9"/>
      <c r="C164" s="9"/>
      <c r="D164" s="9"/>
      <c r="E164" s="9"/>
      <c r="F164" s="45"/>
      <c r="G164" s="9"/>
    </row>
    <row r="165" spans="1:7" s="1" customFormat="1" x14ac:dyDescent="0.25">
      <c r="A165" s="37"/>
      <c r="B165" s="9"/>
      <c r="C165" s="9"/>
      <c r="D165" s="9"/>
      <c r="E165" s="9"/>
      <c r="F165" s="45"/>
      <c r="G165" s="9"/>
    </row>
    <row r="166" spans="1:7" s="1" customFormat="1" x14ac:dyDescent="0.25">
      <c r="A166" s="37"/>
      <c r="B166" s="9"/>
      <c r="C166" s="9"/>
      <c r="D166" s="9"/>
      <c r="E166" s="9"/>
      <c r="F166" s="45"/>
      <c r="G166" s="9"/>
    </row>
    <row r="167" spans="1:7" s="1" customFormat="1" x14ac:dyDescent="0.25">
      <c r="A167" s="37"/>
      <c r="B167" s="9"/>
      <c r="C167" s="9"/>
      <c r="D167" s="9"/>
      <c r="E167" s="9"/>
      <c r="F167" s="45"/>
      <c r="G167" s="9"/>
    </row>
    <row r="168" spans="1:7" s="1" customFormat="1" x14ac:dyDescent="0.25">
      <c r="A168" s="37"/>
      <c r="B168" s="9"/>
      <c r="C168" s="9"/>
      <c r="D168" s="9"/>
      <c r="E168" s="9"/>
      <c r="F168" s="45"/>
      <c r="G168" s="9"/>
    </row>
    <row r="169" spans="1:7" s="1" customFormat="1" x14ac:dyDescent="0.25">
      <c r="A169" s="37"/>
      <c r="B169" s="9"/>
      <c r="C169" s="9"/>
      <c r="D169" s="9"/>
      <c r="E169" s="9"/>
      <c r="F169" s="45"/>
      <c r="G169" s="9"/>
    </row>
    <row r="170" spans="1:7" s="1" customFormat="1" x14ac:dyDescent="0.25">
      <c r="A170" s="37"/>
      <c r="B170" s="9"/>
      <c r="C170" s="9"/>
      <c r="D170" s="9"/>
      <c r="E170" s="9"/>
      <c r="F170" s="45"/>
      <c r="G170" s="9"/>
    </row>
    <row r="171" spans="1:7" s="1" customFormat="1" x14ac:dyDescent="0.25">
      <c r="A171" s="37"/>
      <c r="B171" s="9"/>
      <c r="C171" s="9"/>
      <c r="D171" s="9"/>
      <c r="E171" s="9"/>
      <c r="F171" s="45"/>
      <c r="G171" s="9"/>
    </row>
    <row r="172" spans="1:7" s="1" customFormat="1" x14ac:dyDescent="0.25">
      <c r="A172" s="37"/>
      <c r="B172" s="9"/>
      <c r="C172" s="9"/>
      <c r="D172" s="9"/>
      <c r="E172" s="9"/>
      <c r="F172" s="45"/>
      <c r="G172" s="9"/>
    </row>
    <row r="173" spans="1:7" s="1" customFormat="1" x14ac:dyDescent="0.25">
      <c r="A173" s="37"/>
      <c r="B173" s="9"/>
      <c r="C173" s="9"/>
      <c r="D173" s="9"/>
      <c r="E173" s="9"/>
      <c r="F173" s="45"/>
      <c r="G173" s="9"/>
    </row>
    <row r="174" spans="1:7" s="1" customFormat="1" x14ac:dyDescent="0.25">
      <c r="A174" s="37"/>
      <c r="B174" s="9"/>
      <c r="C174" s="9"/>
      <c r="D174" s="9"/>
      <c r="E174" s="9"/>
      <c r="F174" s="45"/>
      <c r="G174" s="9"/>
    </row>
    <row r="175" spans="1:7" s="1" customFormat="1" x14ac:dyDescent="0.25">
      <c r="A175" s="37"/>
      <c r="B175" s="9"/>
      <c r="C175" s="9"/>
      <c r="D175" s="9"/>
      <c r="E175" s="9"/>
      <c r="F175" s="45"/>
      <c r="G175" s="9"/>
    </row>
    <row r="176" spans="1:7" s="1" customFormat="1" x14ac:dyDescent="0.25">
      <c r="A176" s="37"/>
      <c r="B176" s="9"/>
      <c r="C176" s="9"/>
      <c r="D176" s="9"/>
      <c r="E176" s="9"/>
      <c r="F176" s="45"/>
      <c r="G176" s="9"/>
    </row>
    <row r="177" spans="1:7" s="1" customFormat="1" x14ac:dyDescent="0.25">
      <c r="A177" s="37"/>
      <c r="B177" s="9"/>
      <c r="C177" s="9"/>
      <c r="D177" s="9"/>
      <c r="E177" s="9"/>
      <c r="F177" s="45"/>
      <c r="G177" s="9"/>
    </row>
    <row r="178" spans="1:7" s="1" customFormat="1" x14ac:dyDescent="0.25">
      <c r="A178" s="37"/>
      <c r="B178" s="9"/>
      <c r="C178" s="9"/>
      <c r="D178" s="9"/>
      <c r="E178" s="9"/>
      <c r="F178" s="45"/>
      <c r="G178" s="9"/>
    </row>
    <row r="179" spans="1:7" s="1" customFormat="1" x14ac:dyDescent="0.25">
      <c r="A179" s="37"/>
      <c r="B179" s="9"/>
      <c r="C179" s="9"/>
      <c r="D179" s="9"/>
      <c r="E179" s="9"/>
      <c r="F179" s="45"/>
      <c r="G179" s="9"/>
    </row>
    <row r="180" spans="1:7" s="1" customFormat="1" x14ac:dyDescent="0.25">
      <c r="A180" s="37"/>
      <c r="B180" s="9"/>
      <c r="C180" s="9"/>
      <c r="D180" s="9"/>
      <c r="E180" s="9"/>
      <c r="F180" s="45"/>
      <c r="G180" s="9"/>
    </row>
    <row r="181" spans="1:7" s="1" customFormat="1" x14ac:dyDescent="0.25">
      <c r="A181" s="37"/>
      <c r="B181" s="9"/>
      <c r="C181" s="9"/>
      <c r="D181" s="9"/>
      <c r="E181" s="9"/>
      <c r="F181" s="45"/>
      <c r="G181" s="9"/>
    </row>
    <row r="182" spans="1:7" s="1" customFormat="1" x14ac:dyDescent="0.25">
      <c r="A182" s="37"/>
      <c r="B182" s="9"/>
      <c r="C182" s="9"/>
      <c r="D182" s="9"/>
      <c r="E182" s="9"/>
      <c r="F182" s="45"/>
      <c r="G182" s="9"/>
    </row>
    <row r="183" spans="1:7" s="1" customFormat="1" x14ac:dyDescent="0.25">
      <c r="A183" s="37"/>
      <c r="B183" s="9"/>
      <c r="C183" s="9"/>
      <c r="D183" s="9"/>
      <c r="E183" s="9"/>
      <c r="F183" s="45"/>
      <c r="G183" s="9"/>
    </row>
    <row r="184" spans="1:7" s="1" customFormat="1" x14ac:dyDescent="0.25">
      <c r="A184" s="37"/>
      <c r="B184" s="9"/>
      <c r="C184" s="9"/>
      <c r="D184" s="9"/>
      <c r="E184" s="9"/>
      <c r="F184" s="45"/>
      <c r="G184" s="9"/>
    </row>
    <row r="185" spans="1:7" s="1" customFormat="1" x14ac:dyDescent="0.25">
      <c r="A185" s="37"/>
      <c r="B185" s="9"/>
      <c r="C185" s="9"/>
      <c r="D185" s="9"/>
      <c r="E185" s="9"/>
      <c r="F185" s="45"/>
      <c r="G185" s="9"/>
    </row>
    <row r="186" spans="1:7" s="1" customFormat="1" x14ac:dyDescent="0.25">
      <c r="A186" s="37"/>
      <c r="B186" s="9"/>
      <c r="C186" s="9"/>
      <c r="D186" s="9"/>
      <c r="E186" s="9"/>
      <c r="F186" s="45"/>
      <c r="G186" s="9"/>
    </row>
    <row r="187" spans="1:7" s="1" customFormat="1" x14ac:dyDescent="0.25">
      <c r="A187" s="37"/>
      <c r="B187" s="9"/>
      <c r="C187" s="9"/>
      <c r="D187" s="9"/>
      <c r="E187" s="9"/>
      <c r="F187" s="45"/>
      <c r="G187" s="9"/>
    </row>
    <row r="188" spans="1:7" s="1" customFormat="1" x14ac:dyDescent="0.25">
      <c r="A188" s="37"/>
      <c r="B188" s="9"/>
      <c r="C188" s="9"/>
      <c r="D188" s="9"/>
      <c r="E188" s="9"/>
      <c r="F188" s="45"/>
      <c r="G188" s="9"/>
    </row>
    <row r="189" spans="1:7" s="1" customFormat="1" x14ac:dyDescent="0.25">
      <c r="A189" s="37"/>
      <c r="B189" s="9"/>
      <c r="C189" s="9"/>
      <c r="D189" s="9"/>
      <c r="E189" s="9"/>
      <c r="F189" s="45"/>
      <c r="G189" s="9"/>
    </row>
    <row r="190" spans="1:7" s="1" customFormat="1" x14ac:dyDescent="0.25">
      <c r="A190" s="37"/>
      <c r="B190" s="9"/>
      <c r="C190" s="9"/>
      <c r="D190" s="9"/>
      <c r="E190" s="9"/>
      <c r="F190" s="45"/>
      <c r="G190" s="9"/>
    </row>
    <row r="191" spans="1:7" s="1" customFormat="1" x14ac:dyDescent="0.25">
      <c r="A191" s="37"/>
      <c r="B191" s="9"/>
      <c r="C191" s="9"/>
      <c r="D191" s="9"/>
      <c r="E191" s="9"/>
      <c r="F191" s="45"/>
      <c r="G191" s="9"/>
    </row>
    <row r="192" spans="1:7" s="1" customFormat="1" x14ac:dyDescent="0.25">
      <c r="A192" s="37"/>
      <c r="B192" s="9"/>
      <c r="C192" s="9"/>
      <c r="D192" s="9"/>
      <c r="E192" s="9"/>
      <c r="F192" s="45"/>
      <c r="G192" s="9"/>
    </row>
    <row r="193" spans="1:7" s="1" customFormat="1" x14ac:dyDescent="0.25">
      <c r="A193" s="37"/>
      <c r="B193" s="9"/>
      <c r="C193" s="9"/>
      <c r="D193" s="9"/>
      <c r="E193" s="9"/>
      <c r="F193" s="45"/>
      <c r="G193" s="9"/>
    </row>
    <row r="194" spans="1:7" s="1" customFormat="1" x14ac:dyDescent="0.25">
      <c r="A194" s="37"/>
      <c r="B194" s="9"/>
      <c r="C194" s="9"/>
      <c r="D194" s="9"/>
      <c r="E194" s="9"/>
      <c r="F194" s="45"/>
      <c r="G194" s="9"/>
    </row>
    <row r="195" spans="1:7" s="1" customFormat="1" x14ac:dyDescent="0.25">
      <c r="A195" s="37"/>
      <c r="B195" s="9"/>
      <c r="C195" s="9"/>
      <c r="D195" s="9"/>
      <c r="E195" s="9"/>
      <c r="F195" s="45"/>
      <c r="G195" s="9"/>
    </row>
    <row r="196" spans="1:7" s="1" customFormat="1" x14ac:dyDescent="0.25">
      <c r="A196" s="37"/>
      <c r="B196" s="9"/>
      <c r="C196" s="9"/>
      <c r="D196" s="9"/>
      <c r="E196" s="9"/>
      <c r="F196" s="45"/>
      <c r="G196" s="9"/>
    </row>
    <row r="197" spans="1:7" s="1" customFormat="1" x14ac:dyDescent="0.25">
      <c r="A197" s="37"/>
      <c r="B197" s="9"/>
      <c r="C197" s="9"/>
      <c r="D197" s="9"/>
      <c r="E197" s="9"/>
      <c r="F197" s="45"/>
      <c r="G197" s="9"/>
    </row>
    <row r="198" spans="1:7" s="1" customFormat="1" x14ac:dyDescent="0.25">
      <c r="A198" s="37"/>
      <c r="B198" s="9"/>
      <c r="C198" s="9"/>
      <c r="D198" s="9"/>
      <c r="E198" s="9"/>
      <c r="F198" s="45"/>
      <c r="G198" s="9"/>
    </row>
    <row r="199" spans="1:7" s="1" customFormat="1" x14ac:dyDescent="0.25">
      <c r="A199" s="37"/>
      <c r="B199" s="9"/>
      <c r="C199" s="9"/>
      <c r="D199" s="9"/>
      <c r="E199" s="9"/>
      <c r="F199" s="45"/>
      <c r="G199" s="9"/>
    </row>
    <row r="200" spans="1:7" s="1" customFormat="1" x14ac:dyDescent="0.25">
      <c r="A200" s="37"/>
      <c r="B200" s="9"/>
      <c r="C200" s="9"/>
      <c r="D200" s="9"/>
      <c r="E200" s="9"/>
      <c r="F200" s="45"/>
      <c r="G200" s="9"/>
    </row>
  </sheetData>
  <dataValidations count="1">
    <dataValidation type="list" allowBlank="1" showInputMessage="1" showErrorMessage="1" sqref="B1" xr:uid="{C4A724DD-5C15-47B5-BF45-6D3CAC57C6FB}">
      <formula1>PatientNames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39130-AF29-4A4C-9DA1-A4C553F09423}">
  <dimension ref="A1:G200"/>
  <sheetViews>
    <sheetView showGridLines="0" tabSelected="1" zoomScale="106" zoomScaleNormal="106" workbookViewId="0">
      <selection activeCell="L13" sqref="L13"/>
    </sheetView>
  </sheetViews>
  <sheetFormatPr defaultRowHeight="15" x14ac:dyDescent="0.25"/>
  <cols>
    <col min="1" max="1" width="11.7109375" customWidth="1"/>
    <col min="2" max="2" width="24.5703125" customWidth="1"/>
    <col min="3" max="3" width="9.42578125" customWidth="1"/>
    <col min="5" max="5" width="14.140625" customWidth="1"/>
  </cols>
  <sheetData>
    <row r="1" spans="1:7" x14ac:dyDescent="0.25">
      <c r="A1" s="6" t="s">
        <v>14</v>
      </c>
      <c r="B1" s="34" t="str">
        <f>Patient_File!B1</f>
        <v>Kelly Smith</v>
      </c>
    </row>
    <row r="3" spans="1:7" x14ac:dyDescent="0.25">
      <c r="A3" s="25" t="s">
        <v>15</v>
      </c>
      <c r="B3" s="26" t="str">
        <f>_xlfn.XLOOKUP(B1, PatientsTable[Full_Name], PatientsTable[Patient_ID])</f>
        <v>P001</v>
      </c>
    </row>
    <row r="4" spans="1:7" x14ac:dyDescent="0.25">
      <c r="A4" s="25" t="s">
        <v>16</v>
      </c>
      <c r="B4" s="26" t="str">
        <f>IFERROR(_xlfn.XLOOKUP(B1, PatientsTable[Full_Name], PatientsTable[First_Name]), "")</f>
        <v>Kelly</v>
      </c>
    </row>
    <row r="5" spans="1:7" x14ac:dyDescent="0.25">
      <c r="A5" s="25" t="s">
        <v>17</v>
      </c>
      <c r="B5" s="26" t="str">
        <f>IFERROR(_xlfn.XLOOKUP(B1, PatientsTable[Full_Name], PatientsTable[Last_Name]), "")</f>
        <v>Smith</v>
      </c>
    </row>
    <row r="6" spans="1:7" x14ac:dyDescent="0.25">
      <c r="A6" s="25" t="s">
        <v>18</v>
      </c>
      <c r="B6" s="27">
        <f>IFERROR(_xlfn.XLOOKUP(B1, PatientsTable[Full_Name], PatientsTable[ID_Number]), "")</f>
        <v>9001011234</v>
      </c>
    </row>
    <row r="7" spans="1:7" x14ac:dyDescent="0.25">
      <c r="A7" s="25" t="s">
        <v>5</v>
      </c>
      <c r="B7" s="27" t="str">
        <f>IFERROR(_xlfn.XLOOKUP(B1, PatientsTable[Full_Name], PatientsTable[Phone]), "")</f>
        <v>0821234567</v>
      </c>
    </row>
    <row r="8" spans="1:7" ht="30" x14ac:dyDescent="0.25">
      <c r="A8" s="25" t="s">
        <v>6</v>
      </c>
      <c r="B8" s="26" t="str">
        <f>IFERROR(_xlfn.XLOOKUP(B1, PatientsTable[Full_Name], PatientsTable[Email]), "")</f>
        <v>kelly@mail.com</v>
      </c>
    </row>
    <row r="9" spans="1:7" x14ac:dyDescent="0.25">
      <c r="A9" s="25" t="s">
        <v>7</v>
      </c>
      <c r="B9" s="26" t="str">
        <f>IFERROR(_xlfn.XLOOKUP(B1, PatientsTable[Full_Name], PatientsTable[Address]), "")</f>
        <v>Pretoria</v>
      </c>
    </row>
    <row r="10" spans="1:7" ht="30" x14ac:dyDescent="0.25">
      <c r="A10" s="25" t="s">
        <v>19</v>
      </c>
      <c r="B10" s="28">
        <f>IFERROR(_xlfn.XLOOKUP(B1, PatientsTable[Full_Name], PatientsTable[Date_Registered]), "")</f>
        <v>46054</v>
      </c>
    </row>
    <row r="12" spans="1:7" ht="30" x14ac:dyDescent="0.25">
      <c r="A12" s="5" t="s">
        <v>10</v>
      </c>
      <c r="B12" s="5" t="s">
        <v>233</v>
      </c>
      <c r="C12" s="5" t="s">
        <v>236</v>
      </c>
      <c r="D12" s="5" t="s">
        <v>243</v>
      </c>
      <c r="E12" s="5" t="s">
        <v>11</v>
      </c>
      <c r="F12" s="5" t="s">
        <v>12</v>
      </c>
      <c r="G12" s="5" t="s">
        <v>20</v>
      </c>
    </row>
    <row r="13" spans="1:7" ht="30" x14ac:dyDescent="0.25">
      <c r="A13" s="33" cm="1">
        <f t="array" ref="A13:G17">IFERROR(_xlfn._xlws.FILTER(VisitsTable[[Date]:[Payment_Status]], VisitsTable[Patient_ID]=_xlfn.XLOOKUP(B1, PatientsTable[Full_Name], PatientsTable[Patient_ID])), "No visits")</f>
        <v>46058</v>
      </c>
      <c r="B13" s="9" t="str">
        <v>In-person</v>
      </c>
      <c r="C13" s="9" t="str">
        <v>Individual</v>
      </c>
      <c r="D13" s="9" t="str">
        <v>Anxiety</v>
      </c>
      <c r="E13" s="9" t="str">
        <v>Bit Late</v>
      </c>
      <c r="F13" s="45">
        <v>500</v>
      </c>
      <c r="G13" s="9" t="str">
        <v>Paid</v>
      </c>
    </row>
    <row r="14" spans="1:7" ht="30" x14ac:dyDescent="0.25">
      <c r="A14" s="50">
        <v>46065</v>
      </c>
      <c r="B14" s="9" t="str">
        <v>Online</v>
      </c>
      <c r="C14" s="9" t="str">
        <v>Individual</v>
      </c>
      <c r="D14" s="9" t="str">
        <v>Stress</v>
      </c>
      <c r="E14" s="9" t="str">
        <v>Shy</v>
      </c>
      <c r="F14" s="45">
        <v>450</v>
      </c>
      <c r="G14" s="9" t="str">
        <v>Paid</v>
      </c>
    </row>
    <row r="15" spans="1:7" x14ac:dyDescent="0.25">
      <c r="A15" s="9" t="str">
        <v>05/02/2026</v>
      </c>
      <c r="B15" s="9" t="str">
        <v>In-person</v>
      </c>
      <c r="C15" s="9" t="str">
        <v>Couple</v>
      </c>
      <c r="D15" s="9" t="str">
        <v>Pre-Marital Counselling</v>
      </c>
      <c r="E15" s="9" t="str">
        <v>First session</v>
      </c>
      <c r="F15" s="45">
        <v>500</v>
      </c>
      <c r="G15" s="9" t="str">
        <v>Paid</v>
      </c>
    </row>
    <row r="16" spans="1:7" x14ac:dyDescent="0.25">
      <c r="A16" s="9" t="str">
        <v>12/02/2026</v>
      </c>
      <c r="B16" s="9" t="str">
        <v>In-person</v>
      </c>
      <c r="C16" s="9" t="str">
        <v>Group</v>
      </c>
      <c r="D16" s="9" t="str">
        <v>Mediation</v>
      </c>
      <c r="E16" s="9" t="str">
        <v>Anxiety review</v>
      </c>
      <c r="F16" s="45">
        <v>450</v>
      </c>
      <c r="G16" s="9" t="str">
        <v>Paid</v>
      </c>
    </row>
    <row r="17" spans="1:7" x14ac:dyDescent="0.25">
      <c r="A17" s="9" t="str">
        <v>19/02/2026</v>
      </c>
      <c r="B17" s="9" t="str">
        <v>In-person</v>
      </c>
      <c r="C17" s="9" t="str">
        <v>Group</v>
      </c>
      <c r="D17" s="9" t="str">
        <v>Mediation</v>
      </c>
      <c r="E17" s="9" t="str">
        <v>Progress check</v>
      </c>
      <c r="F17" s="45">
        <v>450</v>
      </c>
      <c r="G17" s="9" t="str">
        <v>Paid</v>
      </c>
    </row>
    <row r="18" spans="1:7" x14ac:dyDescent="0.25">
      <c r="A18" s="9"/>
      <c r="B18" s="9"/>
      <c r="C18" s="9"/>
      <c r="D18" s="9"/>
      <c r="E18" s="9"/>
      <c r="F18" s="45"/>
      <c r="G18" s="9"/>
    </row>
    <row r="19" spans="1:7" x14ac:dyDescent="0.25">
      <c r="A19" s="9"/>
      <c r="B19" s="9"/>
      <c r="C19" s="9"/>
      <c r="D19" s="9"/>
      <c r="E19" s="9"/>
      <c r="F19" s="45"/>
      <c r="G19" s="9"/>
    </row>
    <row r="20" spans="1:7" x14ac:dyDescent="0.25">
      <c r="A20" s="9"/>
      <c r="B20" s="9"/>
      <c r="C20" s="9"/>
      <c r="D20" s="9"/>
      <c r="E20" s="9"/>
      <c r="F20" s="45"/>
      <c r="G20" s="9"/>
    </row>
    <row r="21" spans="1:7" x14ac:dyDescent="0.25">
      <c r="A21" s="9"/>
      <c r="B21" s="9"/>
      <c r="C21" s="9"/>
      <c r="D21" s="9"/>
      <c r="E21" s="9"/>
      <c r="F21" s="45"/>
      <c r="G21" s="9"/>
    </row>
    <row r="22" spans="1:7" x14ac:dyDescent="0.25">
      <c r="A22" s="9"/>
      <c r="B22" s="9"/>
      <c r="C22" s="9"/>
      <c r="D22" s="9"/>
      <c r="E22" s="9"/>
      <c r="F22" s="45"/>
      <c r="G22" s="9"/>
    </row>
    <row r="23" spans="1:7" x14ac:dyDescent="0.25">
      <c r="A23" s="9"/>
      <c r="B23" s="9"/>
      <c r="C23" s="9"/>
      <c r="D23" s="9"/>
      <c r="E23" s="9"/>
      <c r="F23" s="45"/>
      <c r="G23" s="9"/>
    </row>
    <row r="24" spans="1:7" x14ac:dyDescent="0.25">
      <c r="A24" s="9"/>
      <c r="B24" s="9"/>
      <c r="C24" s="9"/>
      <c r="D24" s="9"/>
      <c r="E24" s="9"/>
      <c r="F24" s="45"/>
      <c r="G24" s="9"/>
    </row>
    <row r="25" spans="1:7" x14ac:dyDescent="0.25">
      <c r="A25" s="9"/>
      <c r="B25" s="9"/>
      <c r="C25" s="9"/>
      <c r="D25" s="9"/>
      <c r="E25" s="9"/>
      <c r="F25" s="45"/>
      <c r="G25" s="9"/>
    </row>
    <row r="26" spans="1:7" x14ac:dyDescent="0.25">
      <c r="A26" s="9"/>
      <c r="B26" s="9"/>
      <c r="C26" s="9"/>
      <c r="D26" s="9"/>
      <c r="E26" s="9"/>
      <c r="F26" s="45"/>
      <c r="G26" s="9"/>
    </row>
    <row r="27" spans="1:7" x14ac:dyDescent="0.25">
      <c r="A27" s="9"/>
      <c r="B27" s="9"/>
      <c r="C27" s="9"/>
      <c r="D27" s="9"/>
      <c r="E27" s="9"/>
      <c r="F27" s="45"/>
      <c r="G27" s="9"/>
    </row>
    <row r="28" spans="1:7" x14ac:dyDescent="0.25">
      <c r="A28" s="9"/>
      <c r="B28" s="9"/>
      <c r="C28" s="9"/>
      <c r="D28" s="9"/>
      <c r="E28" s="9"/>
      <c r="F28" s="45"/>
      <c r="G28" s="9"/>
    </row>
    <row r="29" spans="1:7" x14ac:dyDescent="0.25">
      <c r="A29" s="9"/>
      <c r="B29" s="9"/>
      <c r="C29" s="9"/>
      <c r="D29" s="9"/>
      <c r="E29" s="9"/>
      <c r="F29" s="45"/>
      <c r="G29" s="9"/>
    </row>
    <row r="30" spans="1:7" x14ac:dyDescent="0.25">
      <c r="A30" s="9"/>
      <c r="B30" s="9"/>
      <c r="C30" s="9"/>
      <c r="D30" s="9"/>
      <c r="E30" s="9"/>
      <c r="F30" s="45"/>
      <c r="G30" s="9"/>
    </row>
    <row r="31" spans="1:7" x14ac:dyDescent="0.25">
      <c r="A31" s="9"/>
      <c r="B31" s="9"/>
      <c r="C31" s="9"/>
      <c r="D31" s="9"/>
      <c r="E31" s="9"/>
      <c r="F31" s="45"/>
      <c r="G31" s="9"/>
    </row>
    <row r="32" spans="1:7" x14ac:dyDescent="0.25">
      <c r="A32" s="9"/>
      <c r="B32" s="9"/>
      <c r="C32" s="9"/>
      <c r="D32" s="9"/>
      <c r="E32" s="9"/>
      <c r="F32" s="45"/>
      <c r="G32" s="9"/>
    </row>
    <row r="33" spans="1:7" x14ac:dyDescent="0.25">
      <c r="A33" s="9"/>
      <c r="B33" s="9"/>
      <c r="C33" s="9"/>
      <c r="D33" s="9"/>
      <c r="E33" s="9"/>
      <c r="F33" s="45"/>
      <c r="G33" s="9"/>
    </row>
    <row r="34" spans="1:7" x14ac:dyDescent="0.25">
      <c r="A34" s="9"/>
      <c r="B34" s="9"/>
      <c r="C34" s="9"/>
      <c r="D34" s="9"/>
      <c r="E34" s="9"/>
      <c r="F34" s="45"/>
      <c r="G34" s="9"/>
    </row>
    <row r="35" spans="1:7" x14ac:dyDescent="0.25">
      <c r="A35" s="9"/>
      <c r="B35" s="9"/>
      <c r="C35" s="9"/>
      <c r="D35" s="9"/>
      <c r="E35" s="9"/>
      <c r="F35" s="45"/>
      <c r="G35" s="9"/>
    </row>
    <row r="36" spans="1:7" x14ac:dyDescent="0.25">
      <c r="A36" s="9"/>
      <c r="B36" s="9"/>
      <c r="C36" s="9"/>
      <c r="D36" s="9"/>
      <c r="E36" s="9"/>
      <c r="F36" s="45"/>
      <c r="G36" s="9"/>
    </row>
    <row r="37" spans="1:7" x14ac:dyDescent="0.25">
      <c r="A37" s="9"/>
      <c r="B37" s="9"/>
      <c r="C37" s="9"/>
      <c r="D37" s="9"/>
      <c r="E37" s="9"/>
      <c r="F37" s="45"/>
      <c r="G37" s="9"/>
    </row>
    <row r="38" spans="1:7" x14ac:dyDescent="0.25">
      <c r="A38" s="9"/>
      <c r="B38" s="9"/>
      <c r="C38" s="9"/>
      <c r="D38" s="9"/>
      <c r="E38" s="9"/>
      <c r="F38" s="45"/>
      <c r="G38" s="9"/>
    </row>
    <row r="39" spans="1:7" x14ac:dyDescent="0.25">
      <c r="A39" s="9"/>
      <c r="B39" s="9"/>
      <c r="C39" s="9"/>
      <c r="D39" s="9"/>
      <c r="E39" s="9"/>
      <c r="F39" s="45"/>
      <c r="G39" s="9"/>
    </row>
    <row r="40" spans="1:7" x14ac:dyDescent="0.25">
      <c r="A40" s="9"/>
      <c r="B40" s="9"/>
      <c r="C40" s="9"/>
      <c r="D40" s="9"/>
      <c r="E40" s="9"/>
      <c r="F40" s="45"/>
      <c r="G40" s="9"/>
    </row>
    <row r="41" spans="1:7" x14ac:dyDescent="0.25">
      <c r="A41" s="9"/>
      <c r="B41" s="9"/>
      <c r="C41" s="9"/>
      <c r="D41" s="9"/>
      <c r="E41" s="9"/>
      <c r="F41" s="45"/>
      <c r="G41" s="9"/>
    </row>
    <row r="42" spans="1:7" x14ac:dyDescent="0.25">
      <c r="A42" s="9"/>
      <c r="B42" s="9"/>
      <c r="C42" s="9"/>
      <c r="D42" s="9"/>
      <c r="E42" s="9"/>
      <c r="F42" s="45"/>
      <c r="G42" s="9"/>
    </row>
    <row r="43" spans="1:7" x14ac:dyDescent="0.25">
      <c r="A43" s="9"/>
      <c r="B43" s="9"/>
      <c r="C43" s="9"/>
      <c r="D43" s="9"/>
      <c r="E43" s="9"/>
      <c r="F43" s="45"/>
      <c r="G43" s="9"/>
    </row>
    <row r="44" spans="1:7" x14ac:dyDescent="0.25">
      <c r="A44" s="9"/>
      <c r="B44" s="9"/>
      <c r="C44" s="9"/>
      <c r="D44" s="9"/>
      <c r="E44" s="9"/>
      <c r="F44" s="45"/>
      <c r="G44" s="9"/>
    </row>
    <row r="45" spans="1:7" x14ac:dyDescent="0.25">
      <c r="A45" s="9"/>
      <c r="B45" s="9"/>
      <c r="C45" s="9"/>
      <c r="D45" s="9"/>
      <c r="E45" s="9"/>
      <c r="F45" s="45"/>
      <c r="G45" s="9"/>
    </row>
    <row r="46" spans="1:7" x14ac:dyDescent="0.25">
      <c r="A46" s="9"/>
      <c r="B46" s="9"/>
      <c r="C46" s="9"/>
      <c r="D46" s="9"/>
      <c r="E46" s="9"/>
      <c r="F46" s="45"/>
      <c r="G46" s="9"/>
    </row>
    <row r="47" spans="1:7" x14ac:dyDescent="0.25">
      <c r="A47" s="9"/>
      <c r="B47" s="9"/>
      <c r="C47" s="9"/>
      <c r="D47" s="9"/>
      <c r="E47" s="9"/>
      <c r="F47" s="45"/>
      <c r="G47" s="9"/>
    </row>
    <row r="48" spans="1:7" x14ac:dyDescent="0.25">
      <c r="A48" s="9"/>
      <c r="B48" s="9"/>
      <c r="C48" s="9"/>
      <c r="D48" s="9"/>
      <c r="E48" s="9"/>
      <c r="F48" s="45"/>
      <c r="G48" s="9"/>
    </row>
    <row r="49" spans="1:7" x14ac:dyDescent="0.25">
      <c r="A49" s="9"/>
      <c r="B49" s="9"/>
      <c r="C49" s="9"/>
      <c r="D49" s="9"/>
      <c r="E49" s="9"/>
      <c r="F49" s="45"/>
      <c r="G49" s="9"/>
    </row>
    <row r="50" spans="1:7" x14ac:dyDescent="0.25">
      <c r="A50" s="9"/>
      <c r="B50" s="9"/>
      <c r="C50" s="9"/>
      <c r="D50" s="9"/>
      <c r="E50" s="9"/>
      <c r="F50" s="45"/>
      <c r="G50" s="9"/>
    </row>
    <row r="51" spans="1:7" x14ac:dyDescent="0.25">
      <c r="A51" s="9"/>
      <c r="B51" s="9"/>
      <c r="C51" s="9"/>
      <c r="D51" s="9"/>
      <c r="E51" s="9"/>
      <c r="F51" s="45"/>
      <c r="G51" s="9"/>
    </row>
    <row r="52" spans="1:7" x14ac:dyDescent="0.25">
      <c r="A52" s="9"/>
      <c r="B52" s="9"/>
      <c r="C52" s="9"/>
      <c r="D52" s="9"/>
      <c r="E52" s="9"/>
      <c r="F52" s="45"/>
      <c r="G52" s="9"/>
    </row>
    <row r="53" spans="1:7" x14ac:dyDescent="0.25">
      <c r="A53" s="9"/>
      <c r="B53" s="9"/>
      <c r="C53" s="9"/>
      <c r="D53" s="9"/>
      <c r="E53" s="9"/>
      <c r="F53" s="45"/>
      <c r="G53" s="9"/>
    </row>
    <row r="54" spans="1:7" x14ac:dyDescent="0.25">
      <c r="A54" s="9"/>
      <c r="B54" s="9"/>
      <c r="C54" s="9"/>
      <c r="D54" s="9"/>
      <c r="E54" s="9"/>
      <c r="F54" s="45"/>
      <c r="G54" s="9"/>
    </row>
    <row r="55" spans="1:7" x14ac:dyDescent="0.25">
      <c r="A55" s="9"/>
      <c r="B55" s="9"/>
      <c r="C55" s="9"/>
      <c r="D55" s="9"/>
      <c r="E55" s="9"/>
      <c r="F55" s="45"/>
      <c r="G55" s="9"/>
    </row>
    <row r="56" spans="1:7" x14ac:dyDescent="0.25">
      <c r="A56" s="9"/>
      <c r="B56" s="9"/>
      <c r="C56" s="9"/>
      <c r="D56" s="9"/>
      <c r="E56" s="9"/>
      <c r="F56" s="45"/>
      <c r="G56" s="9"/>
    </row>
    <row r="57" spans="1:7" x14ac:dyDescent="0.25">
      <c r="A57" s="9"/>
      <c r="B57" s="9"/>
      <c r="C57" s="9"/>
      <c r="D57" s="9"/>
      <c r="E57" s="9"/>
      <c r="F57" s="45"/>
      <c r="G57" s="9"/>
    </row>
    <row r="58" spans="1:7" x14ac:dyDescent="0.25">
      <c r="A58" s="9"/>
      <c r="B58" s="9"/>
      <c r="C58" s="9"/>
      <c r="D58" s="9"/>
      <c r="E58" s="9"/>
      <c r="F58" s="45"/>
      <c r="G58" s="9"/>
    </row>
    <row r="59" spans="1:7" x14ac:dyDescent="0.25">
      <c r="A59" s="9"/>
      <c r="B59" s="9"/>
      <c r="C59" s="9"/>
      <c r="D59" s="9"/>
      <c r="E59" s="9"/>
      <c r="F59" s="45"/>
      <c r="G59" s="9"/>
    </row>
    <row r="60" spans="1:7" x14ac:dyDescent="0.25">
      <c r="A60" s="9"/>
      <c r="B60" s="9"/>
      <c r="C60" s="9"/>
      <c r="D60" s="9"/>
      <c r="E60" s="9"/>
      <c r="F60" s="45"/>
      <c r="G60" s="9"/>
    </row>
    <row r="61" spans="1:7" x14ac:dyDescent="0.25">
      <c r="A61" s="9"/>
      <c r="B61" s="9"/>
      <c r="C61" s="9"/>
      <c r="D61" s="9"/>
      <c r="E61" s="9"/>
      <c r="F61" s="45"/>
      <c r="G61" s="9"/>
    </row>
    <row r="62" spans="1:7" x14ac:dyDescent="0.25">
      <c r="A62" s="9"/>
      <c r="B62" s="9"/>
      <c r="C62" s="9"/>
      <c r="D62" s="9"/>
      <c r="E62" s="9"/>
      <c r="F62" s="45"/>
      <c r="G62" s="9"/>
    </row>
    <row r="63" spans="1:7" x14ac:dyDescent="0.25">
      <c r="A63" s="9"/>
      <c r="B63" s="9"/>
      <c r="C63" s="9"/>
      <c r="D63" s="9"/>
      <c r="E63" s="9"/>
      <c r="F63" s="45"/>
      <c r="G63" s="9"/>
    </row>
    <row r="64" spans="1:7" x14ac:dyDescent="0.25">
      <c r="A64" s="9"/>
      <c r="B64" s="9"/>
      <c r="C64" s="9"/>
      <c r="D64" s="9"/>
      <c r="E64" s="9"/>
      <c r="F64" s="45"/>
      <c r="G64" s="9"/>
    </row>
    <row r="65" spans="1:7" x14ac:dyDescent="0.25">
      <c r="A65" s="9"/>
      <c r="B65" s="9"/>
      <c r="C65" s="9"/>
      <c r="D65" s="9"/>
      <c r="E65" s="9"/>
      <c r="F65" s="45"/>
      <c r="G65" s="9"/>
    </row>
    <row r="66" spans="1:7" x14ac:dyDescent="0.25">
      <c r="A66" s="9"/>
      <c r="B66" s="9"/>
      <c r="C66" s="9"/>
      <c r="D66" s="9"/>
      <c r="E66" s="9"/>
      <c r="F66" s="45"/>
      <c r="G66" s="9"/>
    </row>
    <row r="67" spans="1:7" x14ac:dyDescent="0.25">
      <c r="A67" s="9"/>
      <c r="B67" s="9"/>
      <c r="C67" s="9"/>
      <c r="D67" s="9"/>
      <c r="E67" s="9"/>
      <c r="F67" s="45"/>
      <c r="G67" s="9"/>
    </row>
    <row r="68" spans="1:7" x14ac:dyDescent="0.25">
      <c r="A68" s="9"/>
      <c r="B68" s="9"/>
      <c r="C68" s="9"/>
      <c r="D68" s="9"/>
      <c r="E68" s="9"/>
      <c r="F68" s="45"/>
      <c r="G68" s="9"/>
    </row>
    <row r="69" spans="1:7" x14ac:dyDescent="0.25">
      <c r="A69" s="9"/>
      <c r="B69" s="9"/>
      <c r="C69" s="9"/>
      <c r="D69" s="9"/>
      <c r="E69" s="9"/>
      <c r="F69" s="45"/>
      <c r="G69" s="9"/>
    </row>
    <row r="70" spans="1:7" x14ac:dyDescent="0.25">
      <c r="A70" s="9"/>
      <c r="B70" s="9"/>
      <c r="C70" s="9"/>
      <c r="D70" s="9"/>
      <c r="E70" s="9"/>
      <c r="F70" s="45"/>
      <c r="G70" s="9"/>
    </row>
    <row r="71" spans="1:7" x14ac:dyDescent="0.25">
      <c r="A71" s="9"/>
      <c r="B71" s="9"/>
      <c r="C71" s="9"/>
      <c r="D71" s="9"/>
      <c r="E71" s="9"/>
      <c r="F71" s="45"/>
      <c r="G71" s="9"/>
    </row>
    <row r="72" spans="1:7" x14ac:dyDescent="0.25">
      <c r="A72" s="9"/>
      <c r="B72" s="9"/>
      <c r="C72" s="9"/>
      <c r="D72" s="9"/>
      <c r="E72" s="9"/>
      <c r="F72" s="45"/>
      <c r="G72" s="9"/>
    </row>
    <row r="73" spans="1:7" x14ac:dyDescent="0.25">
      <c r="A73" s="9"/>
      <c r="B73" s="9"/>
      <c r="C73" s="9"/>
      <c r="D73" s="9"/>
      <c r="E73" s="9"/>
      <c r="F73" s="45"/>
      <c r="G73" s="9"/>
    </row>
    <row r="74" spans="1:7" x14ac:dyDescent="0.25">
      <c r="A74" s="9"/>
      <c r="B74" s="9"/>
      <c r="C74" s="9"/>
      <c r="D74" s="9"/>
      <c r="E74" s="9"/>
      <c r="F74" s="45"/>
      <c r="G74" s="9"/>
    </row>
    <row r="75" spans="1:7" x14ac:dyDescent="0.25">
      <c r="A75" s="9"/>
      <c r="B75" s="9"/>
      <c r="C75" s="9"/>
      <c r="D75" s="9"/>
      <c r="E75" s="9"/>
      <c r="F75" s="45"/>
      <c r="G75" s="9"/>
    </row>
    <row r="76" spans="1:7" x14ac:dyDescent="0.25">
      <c r="A76" s="9"/>
      <c r="B76" s="9"/>
      <c r="C76" s="9"/>
      <c r="D76" s="9"/>
      <c r="E76" s="9"/>
      <c r="F76" s="45"/>
      <c r="G76" s="9"/>
    </row>
    <row r="77" spans="1:7" x14ac:dyDescent="0.25">
      <c r="A77" s="9"/>
      <c r="B77" s="9"/>
      <c r="C77" s="9"/>
      <c r="D77" s="9"/>
      <c r="E77" s="9"/>
      <c r="F77" s="45"/>
      <c r="G77" s="9"/>
    </row>
    <row r="78" spans="1:7" x14ac:dyDescent="0.25">
      <c r="A78" s="9"/>
      <c r="B78" s="9"/>
      <c r="C78" s="9"/>
      <c r="D78" s="9"/>
      <c r="E78" s="9"/>
      <c r="F78" s="45"/>
      <c r="G78" s="9"/>
    </row>
    <row r="79" spans="1:7" x14ac:dyDescent="0.25">
      <c r="A79" s="9"/>
      <c r="B79" s="9"/>
      <c r="C79" s="9"/>
      <c r="D79" s="9"/>
      <c r="E79" s="9"/>
      <c r="F79" s="45"/>
      <c r="G79" s="9"/>
    </row>
    <row r="80" spans="1:7" x14ac:dyDescent="0.25">
      <c r="A80" s="9"/>
      <c r="B80" s="9"/>
      <c r="C80" s="9"/>
      <c r="D80" s="9"/>
      <c r="E80" s="9"/>
      <c r="F80" s="45"/>
      <c r="G80" s="9"/>
    </row>
    <row r="81" spans="1:7" x14ac:dyDescent="0.25">
      <c r="A81" s="9"/>
      <c r="B81" s="9"/>
      <c r="C81" s="9"/>
      <c r="D81" s="9"/>
      <c r="E81" s="9"/>
      <c r="F81" s="45"/>
      <c r="G81" s="9"/>
    </row>
    <row r="82" spans="1:7" x14ac:dyDescent="0.25">
      <c r="A82" s="9"/>
      <c r="B82" s="9"/>
      <c r="C82" s="9"/>
      <c r="D82" s="9"/>
      <c r="E82" s="9"/>
      <c r="F82" s="45"/>
      <c r="G82" s="9"/>
    </row>
    <row r="83" spans="1:7" x14ac:dyDescent="0.25">
      <c r="A83" s="9"/>
      <c r="B83" s="9"/>
      <c r="C83" s="9"/>
      <c r="D83" s="9"/>
      <c r="E83" s="9"/>
      <c r="F83" s="45"/>
      <c r="G83" s="9"/>
    </row>
    <row r="84" spans="1:7" x14ac:dyDescent="0.25">
      <c r="A84" s="9"/>
      <c r="B84" s="9"/>
      <c r="C84" s="9"/>
      <c r="D84" s="9"/>
      <c r="E84" s="9"/>
      <c r="F84" s="45"/>
      <c r="G84" s="9"/>
    </row>
    <row r="85" spans="1:7" x14ac:dyDescent="0.25">
      <c r="A85" s="9"/>
      <c r="B85" s="9"/>
      <c r="C85" s="9"/>
      <c r="D85" s="9"/>
      <c r="E85" s="9"/>
      <c r="F85" s="45"/>
      <c r="G85" s="9"/>
    </row>
    <row r="86" spans="1:7" x14ac:dyDescent="0.25">
      <c r="A86" s="9"/>
      <c r="B86" s="9"/>
      <c r="C86" s="9"/>
      <c r="D86" s="9"/>
      <c r="E86" s="9"/>
      <c r="F86" s="45"/>
      <c r="G86" s="9"/>
    </row>
    <row r="87" spans="1:7" x14ac:dyDescent="0.25">
      <c r="A87" s="9"/>
      <c r="B87" s="9"/>
      <c r="C87" s="9"/>
      <c r="D87" s="9"/>
      <c r="E87" s="9"/>
      <c r="F87" s="45"/>
      <c r="G87" s="9"/>
    </row>
    <row r="88" spans="1:7" x14ac:dyDescent="0.25">
      <c r="A88" s="9"/>
      <c r="B88" s="9"/>
      <c r="C88" s="9"/>
      <c r="D88" s="9"/>
      <c r="E88" s="9"/>
      <c r="F88" s="45"/>
      <c r="G88" s="9"/>
    </row>
    <row r="89" spans="1:7" x14ac:dyDescent="0.25">
      <c r="A89" s="9"/>
      <c r="B89" s="9"/>
      <c r="C89" s="9"/>
      <c r="D89" s="9"/>
      <c r="E89" s="9"/>
      <c r="F89" s="45"/>
      <c r="G89" s="9"/>
    </row>
    <row r="90" spans="1:7" x14ac:dyDescent="0.25">
      <c r="A90" s="9"/>
      <c r="B90" s="9"/>
      <c r="C90" s="9"/>
      <c r="D90" s="9"/>
      <c r="E90" s="9"/>
      <c r="F90" s="45"/>
      <c r="G90" s="9"/>
    </row>
    <row r="91" spans="1:7" x14ac:dyDescent="0.25">
      <c r="A91" s="9"/>
      <c r="B91" s="9"/>
      <c r="C91" s="9"/>
      <c r="D91" s="9"/>
      <c r="E91" s="9"/>
      <c r="F91" s="45"/>
      <c r="G91" s="9"/>
    </row>
    <row r="92" spans="1:7" x14ac:dyDescent="0.25">
      <c r="A92" s="9"/>
      <c r="B92" s="9"/>
      <c r="C92" s="9"/>
      <c r="D92" s="9"/>
      <c r="E92" s="9"/>
      <c r="F92" s="45"/>
      <c r="G92" s="9"/>
    </row>
    <row r="93" spans="1:7" x14ac:dyDescent="0.25">
      <c r="A93" s="9"/>
      <c r="B93" s="9"/>
      <c r="C93" s="9"/>
      <c r="D93" s="9"/>
      <c r="E93" s="9"/>
      <c r="F93" s="45"/>
      <c r="G93" s="9"/>
    </row>
    <row r="94" spans="1:7" x14ac:dyDescent="0.25">
      <c r="A94" s="9"/>
      <c r="B94" s="9"/>
      <c r="C94" s="9"/>
      <c r="D94" s="9"/>
      <c r="E94" s="9"/>
      <c r="F94" s="45"/>
      <c r="G94" s="9"/>
    </row>
    <row r="95" spans="1:7" x14ac:dyDescent="0.25">
      <c r="A95" s="9"/>
      <c r="B95" s="9"/>
      <c r="C95" s="9"/>
      <c r="D95" s="9"/>
      <c r="E95" s="9"/>
      <c r="F95" s="45"/>
      <c r="G95" s="9"/>
    </row>
    <row r="96" spans="1:7" x14ac:dyDescent="0.25">
      <c r="A96" s="9"/>
      <c r="B96" s="9"/>
      <c r="C96" s="9"/>
      <c r="D96" s="9"/>
      <c r="E96" s="9"/>
      <c r="F96" s="45"/>
      <c r="G96" s="9"/>
    </row>
    <row r="97" spans="1:7" x14ac:dyDescent="0.25">
      <c r="A97" s="9"/>
      <c r="B97" s="9"/>
      <c r="C97" s="9"/>
      <c r="D97" s="9"/>
      <c r="E97" s="9"/>
      <c r="F97" s="45"/>
      <c r="G97" s="9"/>
    </row>
    <row r="98" spans="1:7" x14ac:dyDescent="0.25">
      <c r="A98" s="9"/>
      <c r="B98" s="9"/>
      <c r="C98" s="9"/>
      <c r="D98" s="9"/>
      <c r="E98" s="9"/>
      <c r="F98" s="45"/>
      <c r="G98" s="9"/>
    </row>
    <row r="99" spans="1:7" x14ac:dyDescent="0.25">
      <c r="A99" s="9"/>
      <c r="B99" s="9"/>
      <c r="C99" s="9"/>
      <c r="D99" s="9"/>
      <c r="E99" s="9"/>
      <c r="F99" s="45"/>
      <c r="G99" s="9"/>
    </row>
    <row r="100" spans="1:7" x14ac:dyDescent="0.25">
      <c r="A100" s="9"/>
      <c r="B100" s="9"/>
      <c r="C100" s="9"/>
      <c r="D100" s="9"/>
      <c r="E100" s="9"/>
      <c r="F100" s="45"/>
      <c r="G100" s="9"/>
    </row>
    <row r="101" spans="1:7" x14ac:dyDescent="0.25">
      <c r="A101" s="9"/>
      <c r="B101" s="9"/>
      <c r="C101" s="9"/>
      <c r="D101" s="9"/>
      <c r="E101" s="9"/>
      <c r="F101" s="45"/>
      <c r="G101" s="9"/>
    </row>
    <row r="102" spans="1:7" x14ac:dyDescent="0.25">
      <c r="A102" s="9"/>
      <c r="B102" s="9"/>
      <c r="C102" s="9"/>
      <c r="D102" s="9"/>
      <c r="E102" s="9"/>
      <c r="F102" s="45"/>
      <c r="G102" s="9"/>
    </row>
    <row r="103" spans="1:7" x14ac:dyDescent="0.25">
      <c r="A103" s="9"/>
      <c r="B103" s="9"/>
      <c r="C103" s="9"/>
      <c r="D103" s="9"/>
      <c r="E103" s="9"/>
      <c r="F103" s="45"/>
      <c r="G103" s="9"/>
    </row>
    <row r="104" spans="1:7" x14ac:dyDescent="0.25">
      <c r="A104" s="9"/>
      <c r="B104" s="9"/>
      <c r="C104" s="9"/>
      <c r="D104" s="9"/>
      <c r="E104" s="9"/>
      <c r="F104" s="45"/>
      <c r="G104" s="9"/>
    </row>
    <row r="105" spans="1:7" x14ac:dyDescent="0.25">
      <c r="A105" s="9"/>
      <c r="B105" s="9"/>
      <c r="C105" s="9"/>
      <c r="D105" s="9"/>
      <c r="E105" s="9"/>
      <c r="F105" s="45"/>
      <c r="G105" s="9"/>
    </row>
    <row r="106" spans="1:7" x14ac:dyDescent="0.25">
      <c r="A106" s="9"/>
      <c r="B106" s="9"/>
      <c r="C106" s="9"/>
      <c r="D106" s="9"/>
      <c r="E106" s="9"/>
      <c r="F106" s="45"/>
      <c r="G106" s="9"/>
    </row>
    <row r="107" spans="1:7" x14ac:dyDescent="0.25">
      <c r="A107" s="9"/>
      <c r="B107" s="9"/>
      <c r="C107" s="9"/>
      <c r="D107" s="9"/>
      <c r="E107" s="9"/>
      <c r="F107" s="45"/>
      <c r="G107" s="9"/>
    </row>
    <row r="108" spans="1:7" x14ac:dyDescent="0.25">
      <c r="A108" s="9"/>
      <c r="B108" s="9"/>
      <c r="C108" s="9"/>
      <c r="D108" s="9"/>
      <c r="E108" s="9"/>
      <c r="F108" s="45"/>
      <c r="G108" s="9"/>
    </row>
    <row r="109" spans="1:7" x14ac:dyDescent="0.25">
      <c r="A109" s="9"/>
      <c r="B109" s="9"/>
      <c r="C109" s="9"/>
      <c r="D109" s="9"/>
      <c r="E109" s="9"/>
      <c r="F109" s="45"/>
      <c r="G109" s="9"/>
    </row>
    <row r="110" spans="1:7" x14ac:dyDescent="0.25">
      <c r="A110" s="9"/>
      <c r="B110" s="9"/>
      <c r="C110" s="9"/>
      <c r="D110" s="9"/>
      <c r="E110" s="9"/>
      <c r="F110" s="45"/>
      <c r="G110" s="9"/>
    </row>
    <row r="111" spans="1:7" x14ac:dyDescent="0.25">
      <c r="A111" s="9"/>
      <c r="B111" s="9"/>
      <c r="C111" s="9"/>
      <c r="D111" s="9"/>
      <c r="E111" s="9"/>
      <c r="F111" s="45"/>
      <c r="G111" s="9"/>
    </row>
    <row r="112" spans="1:7" x14ac:dyDescent="0.25">
      <c r="A112" s="9"/>
      <c r="B112" s="9"/>
      <c r="C112" s="9"/>
      <c r="D112" s="9"/>
      <c r="E112" s="9"/>
      <c r="F112" s="45"/>
      <c r="G112" s="9"/>
    </row>
    <row r="113" spans="1:7" x14ac:dyDescent="0.25">
      <c r="A113" s="9"/>
      <c r="B113" s="9"/>
      <c r="C113" s="9"/>
      <c r="D113" s="9"/>
      <c r="E113" s="9"/>
      <c r="F113" s="45"/>
      <c r="G113" s="9"/>
    </row>
    <row r="114" spans="1:7" x14ac:dyDescent="0.25">
      <c r="A114" s="9"/>
      <c r="B114" s="9"/>
      <c r="C114" s="9"/>
      <c r="D114" s="9"/>
      <c r="E114" s="9"/>
      <c r="F114" s="45"/>
      <c r="G114" s="9"/>
    </row>
    <row r="115" spans="1:7" x14ac:dyDescent="0.25">
      <c r="A115" s="9"/>
      <c r="B115" s="9"/>
      <c r="C115" s="9"/>
      <c r="D115" s="9"/>
      <c r="E115" s="9"/>
      <c r="F115" s="45"/>
      <c r="G115" s="9"/>
    </row>
    <row r="116" spans="1:7" x14ac:dyDescent="0.25">
      <c r="A116" s="9"/>
      <c r="B116" s="9"/>
      <c r="C116" s="9"/>
      <c r="D116" s="9"/>
      <c r="E116" s="9"/>
      <c r="F116" s="45"/>
      <c r="G116" s="9"/>
    </row>
    <row r="117" spans="1:7" x14ac:dyDescent="0.25">
      <c r="A117" s="9"/>
      <c r="B117" s="9"/>
      <c r="C117" s="9"/>
      <c r="D117" s="9"/>
      <c r="E117" s="9"/>
      <c r="F117" s="45"/>
      <c r="G117" s="9"/>
    </row>
    <row r="118" spans="1:7" x14ac:dyDescent="0.25">
      <c r="A118" s="9"/>
      <c r="B118" s="9"/>
      <c r="C118" s="9"/>
      <c r="D118" s="9"/>
      <c r="E118" s="9"/>
      <c r="F118" s="45"/>
      <c r="G118" s="9"/>
    </row>
    <row r="119" spans="1:7" x14ac:dyDescent="0.25">
      <c r="A119" s="9"/>
      <c r="B119" s="9"/>
      <c r="C119" s="9"/>
      <c r="D119" s="9"/>
      <c r="E119" s="9"/>
      <c r="F119" s="45"/>
      <c r="G119" s="9"/>
    </row>
    <row r="120" spans="1:7" x14ac:dyDescent="0.25">
      <c r="A120" s="9"/>
      <c r="B120" s="9"/>
      <c r="C120" s="9"/>
      <c r="D120" s="9"/>
      <c r="E120" s="9"/>
      <c r="F120" s="45"/>
      <c r="G120" s="9"/>
    </row>
    <row r="121" spans="1:7" x14ac:dyDescent="0.25">
      <c r="A121" s="9"/>
      <c r="B121" s="9"/>
      <c r="C121" s="9"/>
      <c r="D121" s="9"/>
      <c r="E121" s="9"/>
      <c r="F121" s="45"/>
      <c r="G121" s="9"/>
    </row>
    <row r="122" spans="1:7" x14ac:dyDescent="0.25">
      <c r="A122" s="9"/>
      <c r="B122" s="9"/>
      <c r="C122" s="9"/>
      <c r="D122" s="9"/>
      <c r="E122" s="9"/>
      <c r="F122" s="45"/>
      <c r="G122" s="9"/>
    </row>
    <row r="123" spans="1:7" x14ac:dyDescent="0.25">
      <c r="A123" s="9"/>
      <c r="B123" s="9"/>
      <c r="C123" s="9"/>
      <c r="D123" s="9"/>
      <c r="E123" s="9"/>
      <c r="F123" s="45"/>
      <c r="G123" s="9"/>
    </row>
    <row r="124" spans="1:7" x14ac:dyDescent="0.25">
      <c r="A124" s="9"/>
      <c r="B124" s="9"/>
      <c r="C124" s="9"/>
      <c r="D124" s="9"/>
      <c r="E124" s="9"/>
      <c r="F124" s="45"/>
      <c r="G124" s="9"/>
    </row>
    <row r="125" spans="1:7" x14ac:dyDescent="0.25">
      <c r="A125" s="9"/>
      <c r="B125" s="9"/>
      <c r="C125" s="9"/>
      <c r="D125" s="9"/>
      <c r="E125" s="9"/>
      <c r="F125" s="45"/>
      <c r="G125" s="9"/>
    </row>
    <row r="126" spans="1:7" x14ac:dyDescent="0.25">
      <c r="A126" s="9"/>
      <c r="B126" s="9"/>
      <c r="C126" s="9"/>
      <c r="D126" s="9"/>
      <c r="E126" s="9"/>
      <c r="F126" s="45"/>
      <c r="G126" s="9"/>
    </row>
    <row r="127" spans="1:7" x14ac:dyDescent="0.25">
      <c r="A127" s="9"/>
      <c r="B127" s="9"/>
      <c r="C127" s="9"/>
      <c r="D127" s="9"/>
      <c r="E127" s="9"/>
      <c r="F127" s="45"/>
      <c r="G127" s="9"/>
    </row>
    <row r="128" spans="1:7" x14ac:dyDescent="0.25">
      <c r="A128" s="9"/>
      <c r="B128" s="9"/>
      <c r="C128" s="9"/>
      <c r="D128" s="9"/>
      <c r="E128" s="9"/>
      <c r="F128" s="45"/>
      <c r="G128" s="9"/>
    </row>
    <row r="129" spans="1:7" x14ac:dyDescent="0.25">
      <c r="A129" s="9"/>
      <c r="B129" s="9"/>
      <c r="C129" s="9"/>
      <c r="D129" s="9"/>
      <c r="E129" s="9"/>
      <c r="F129" s="45"/>
      <c r="G129" s="9"/>
    </row>
    <row r="130" spans="1:7" x14ac:dyDescent="0.25">
      <c r="A130" s="9"/>
      <c r="B130" s="9"/>
      <c r="C130" s="9"/>
      <c r="D130" s="9"/>
      <c r="E130" s="9"/>
      <c r="F130" s="45"/>
      <c r="G130" s="9"/>
    </row>
    <row r="131" spans="1:7" x14ac:dyDescent="0.25">
      <c r="A131" s="9"/>
      <c r="B131" s="9"/>
      <c r="C131" s="9"/>
      <c r="D131" s="9"/>
      <c r="E131" s="9"/>
      <c r="F131" s="45"/>
      <c r="G131" s="9"/>
    </row>
    <row r="132" spans="1:7" x14ac:dyDescent="0.25">
      <c r="A132" s="9"/>
      <c r="B132" s="9"/>
      <c r="C132" s="9"/>
      <c r="D132" s="9"/>
      <c r="E132" s="9"/>
      <c r="F132" s="45"/>
      <c r="G132" s="9"/>
    </row>
    <row r="133" spans="1:7" x14ac:dyDescent="0.25">
      <c r="A133" s="9"/>
      <c r="B133" s="9"/>
      <c r="C133" s="9"/>
      <c r="D133" s="9"/>
      <c r="E133" s="9"/>
      <c r="F133" s="45"/>
      <c r="G133" s="9"/>
    </row>
    <row r="134" spans="1:7" x14ac:dyDescent="0.25">
      <c r="A134" s="9"/>
      <c r="B134" s="9"/>
      <c r="C134" s="9"/>
      <c r="D134" s="9"/>
      <c r="E134" s="9"/>
      <c r="F134" s="45"/>
      <c r="G134" s="9"/>
    </row>
    <row r="135" spans="1:7" x14ac:dyDescent="0.25">
      <c r="A135" s="9"/>
      <c r="B135" s="9"/>
      <c r="C135" s="9"/>
      <c r="D135" s="9"/>
      <c r="E135" s="9"/>
      <c r="F135" s="45"/>
      <c r="G135" s="9"/>
    </row>
    <row r="136" spans="1:7" x14ac:dyDescent="0.25">
      <c r="A136" s="9"/>
      <c r="B136" s="9"/>
      <c r="C136" s="9"/>
      <c r="D136" s="9"/>
      <c r="E136" s="9"/>
      <c r="F136" s="45"/>
      <c r="G136" s="9"/>
    </row>
    <row r="137" spans="1:7" x14ac:dyDescent="0.25">
      <c r="A137" s="9"/>
      <c r="B137" s="9"/>
      <c r="C137" s="9"/>
      <c r="D137" s="9"/>
      <c r="E137" s="9"/>
      <c r="F137" s="45"/>
      <c r="G137" s="9"/>
    </row>
    <row r="138" spans="1:7" x14ac:dyDescent="0.25">
      <c r="A138" s="9"/>
      <c r="B138" s="9"/>
      <c r="C138" s="9"/>
      <c r="D138" s="9"/>
      <c r="E138" s="9"/>
      <c r="F138" s="45"/>
      <c r="G138" s="9"/>
    </row>
    <row r="139" spans="1:7" x14ac:dyDescent="0.25">
      <c r="A139" s="9"/>
      <c r="B139" s="9"/>
      <c r="C139" s="9"/>
      <c r="D139" s="9"/>
      <c r="E139" s="9"/>
      <c r="F139" s="45"/>
      <c r="G139" s="9"/>
    </row>
    <row r="140" spans="1:7" x14ac:dyDescent="0.25">
      <c r="A140" s="9"/>
      <c r="B140" s="9"/>
      <c r="C140" s="9"/>
      <c r="D140" s="9"/>
      <c r="E140" s="9"/>
      <c r="F140" s="45"/>
      <c r="G140" s="9"/>
    </row>
    <row r="141" spans="1:7" x14ac:dyDescent="0.25">
      <c r="A141" s="9"/>
      <c r="B141" s="9"/>
      <c r="C141" s="9"/>
      <c r="D141" s="9"/>
      <c r="E141" s="9"/>
      <c r="F141" s="45"/>
      <c r="G141" s="9"/>
    </row>
    <row r="142" spans="1:7" x14ac:dyDescent="0.25">
      <c r="A142" s="9"/>
      <c r="B142" s="9"/>
      <c r="C142" s="9"/>
      <c r="D142" s="9"/>
      <c r="E142" s="9"/>
      <c r="F142" s="45"/>
      <c r="G142" s="9"/>
    </row>
    <row r="143" spans="1:7" x14ac:dyDescent="0.25">
      <c r="A143" s="9"/>
      <c r="B143" s="9"/>
      <c r="C143" s="9"/>
      <c r="D143" s="9"/>
      <c r="E143" s="9"/>
      <c r="F143" s="45"/>
      <c r="G143" s="9"/>
    </row>
    <row r="144" spans="1:7" x14ac:dyDescent="0.25">
      <c r="A144" s="9"/>
      <c r="B144" s="9"/>
      <c r="C144" s="9"/>
      <c r="D144" s="9"/>
      <c r="E144" s="9"/>
      <c r="F144" s="45"/>
      <c r="G144" s="9"/>
    </row>
    <row r="145" spans="1:7" x14ac:dyDescent="0.25">
      <c r="A145" s="9"/>
      <c r="B145" s="9"/>
      <c r="C145" s="9"/>
      <c r="D145" s="9"/>
      <c r="E145" s="9"/>
      <c r="F145" s="45"/>
      <c r="G145" s="9"/>
    </row>
    <row r="146" spans="1:7" x14ac:dyDescent="0.25">
      <c r="A146" s="9"/>
      <c r="B146" s="9"/>
      <c r="C146" s="9"/>
      <c r="D146" s="9"/>
      <c r="E146" s="9"/>
      <c r="F146" s="45"/>
      <c r="G146" s="9"/>
    </row>
    <row r="147" spans="1:7" x14ac:dyDescent="0.25">
      <c r="A147" s="9"/>
      <c r="B147" s="9"/>
      <c r="C147" s="9"/>
      <c r="D147" s="9"/>
      <c r="E147" s="9"/>
      <c r="F147" s="45"/>
      <c r="G147" s="9"/>
    </row>
    <row r="148" spans="1:7" x14ac:dyDescent="0.25">
      <c r="A148" s="9"/>
      <c r="B148" s="9"/>
      <c r="C148" s="9"/>
      <c r="D148" s="9"/>
      <c r="E148" s="9"/>
      <c r="F148" s="45"/>
      <c r="G148" s="9"/>
    </row>
    <row r="149" spans="1:7" x14ac:dyDescent="0.25">
      <c r="A149" s="9"/>
      <c r="B149" s="9"/>
      <c r="C149" s="9"/>
      <c r="D149" s="9"/>
      <c r="E149" s="9"/>
      <c r="F149" s="45"/>
      <c r="G149" s="9"/>
    </row>
    <row r="150" spans="1:7" x14ac:dyDescent="0.25">
      <c r="A150" s="9"/>
      <c r="B150" s="9"/>
      <c r="C150" s="9"/>
      <c r="D150" s="9"/>
      <c r="E150" s="9"/>
      <c r="F150" s="45"/>
      <c r="G150" s="9"/>
    </row>
    <row r="151" spans="1:7" x14ac:dyDescent="0.25">
      <c r="A151" s="9"/>
      <c r="B151" s="9"/>
      <c r="C151" s="9"/>
      <c r="D151" s="9"/>
      <c r="E151" s="9"/>
      <c r="F151" s="45"/>
      <c r="G151" s="9"/>
    </row>
    <row r="152" spans="1:7" x14ac:dyDescent="0.25">
      <c r="A152" s="9"/>
      <c r="B152" s="9"/>
      <c r="C152" s="9"/>
      <c r="D152" s="9"/>
      <c r="E152" s="9"/>
      <c r="F152" s="45"/>
      <c r="G152" s="9"/>
    </row>
    <row r="153" spans="1:7" x14ac:dyDescent="0.25">
      <c r="A153" s="9"/>
      <c r="B153" s="9"/>
      <c r="C153" s="9"/>
      <c r="D153" s="9"/>
      <c r="E153" s="9"/>
      <c r="F153" s="45"/>
      <c r="G153" s="9"/>
    </row>
    <row r="154" spans="1:7" x14ac:dyDescent="0.25">
      <c r="A154" s="9"/>
      <c r="B154" s="9"/>
      <c r="C154" s="9"/>
      <c r="D154" s="9"/>
      <c r="E154" s="9"/>
      <c r="F154" s="45"/>
      <c r="G154" s="9"/>
    </row>
    <row r="155" spans="1:7" x14ac:dyDescent="0.25">
      <c r="A155" s="9"/>
      <c r="B155" s="9"/>
      <c r="C155" s="9"/>
      <c r="D155" s="9"/>
      <c r="E155" s="9"/>
      <c r="F155" s="45"/>
      <c r="G155" s="9"/>
    </row>
    <row r="156" spans="1:7" x14ac:dyDescent="0.25">
      <c r="A156" s="9"/>
      <c r="B156" s="9"/>
      <c r="C156" s="9"/>
      <c r="D156" s="9"/>
      <c r="E156" s="9"/>
      <c r="F156" s="45"/>
      <c r="G156" s="9"/>
    </row>
    <row r="157" spans="1:7" x14ac:dyDescent="0.25">
      <c r="A157" s="9"/>
      <c r="B157" s="9"/>
      <c r="C157" s="9"/>
      <c r="D157" s="9"/>
      <c r="E157" s="9"/>
      <c r="F157" s="45"/>
      <c r="G157" s="9"/>
    </row>
    <row r="158" spans="1:7" x14ac:dyDescent="0.25">
      <c r="A158" s="9"/>
      <c r="B158" s="9"/>
      <c r="C158" s="9"/>
      <c r="D158" s="9"/>
      <c r="E158" s="9"/>
      <c r="F158" s="45"/>
      <c r="G158" s="9"/>
    </row>
    <row r="159" spans="1:7" x14ac:dyDescent="0.25">
      <c r="A159" s="9"/>
      <c r="B159" s="9"/>
      <c r="C159" s="9"/>
      <c r="D159" s="9"/>
      <c r="E159" s="9"/>
      <c r="F159" s="45"/>
      <c r="G159" s="9"/>
    </row>
    <row r="160" spans="1:7" x14ac:dyDescent="0.25">
      <c r="A160" s="9"/>
      <c r="B160" s="9"/>
      <c r="C160" s="9"/>
      <c r="D160" s="9"/>
      <c r="E160" s="9"/>
      <c r="F160" s="45"/>
      <c r="G160" s="9"/>
    </row>
    <row r="161" spans="1:7" x14ac:dyDescent="0.25">
      <c r="A161" s="9"/>
      <c r="B161" s="9"/>
      <c r="C161" s="9"/>
      <c r="D161" s="9"/>
      <c r="E161" s="9"/>
      <c r="F161" s="45"/>
      <c r="G161" s="9"/>
    </row>
    <row r="162" spans="1:7" x14ac:dyDescent="0.25">
      <c r="A162" s="9"/>
      <c r="B162" s="9"/>
      <c r="C162" s="9"/>
      <c r="D162" s="9"/>
      <c r="E162" s="9"/>
      <c r="F162" s="45"/>
      <c r="G162" s="9"/>
    </row>
    <row r="163" spans="1:7" x14ac:dyDescent="0.25">
      <c r="A163" s="9"/>
      <c r="B163" s="9"/>
      <c r="C163" s="9"/>
      <c r="D163" s="9"/>
      <c r="E163" s="9"/>
      <c r="F163" s="45"/>
      <c r="G163" s="9"/>
    </row>
    <row r="164" spans="1:7" x14ac:dyDescent="0.25">
      <c r="A164" s="9"/>
      <c r="B164" s="9"/>
      <c r="C164" s="9"/>
      <c r="D164" s="9"/>
      <c r="E164" s="9"/>
      <c r="F164" s="45"/>
      <c r="G164" s="9"/>
    </row>
    <row r="165" spans="1:7" x14ac:dyDescent="0.25">
      <c r="A165" s="9"/>
      <c r="B165" s="9"/>
      <c r="C165" s="9"/>
      <c r="D165" s="9"/>
      <c r="E165" s="9"/>
      <c r="F165" s="45"/>
      <c r="G165" s="9"/>
    </row>
    <row r="166" spans="1:7" x14ac:dyDescent="0.25">
      <c r="A166" s="9"/>
      <c r="B166" s="9"/>
      <c r="C166" s="9"/>
      <c r="D166" s="9"/>
      <c r="E166" s="9"/>
      <c r="F166" s="45"/>
      <c r="G166" s="9"/>
    </row>
    <row r="167" spans="1:7" x14ac:dyDescent="0.25">
      <c r="A167" s="9"/>
      <c r="B167" s="9"/>
      <c r="C167" s="9"/>
      <c r="D167" s="9"/>
      <c r="E167" s="9"/>
      <c r="F167" s="45"/>
      <c r="G167" s="9"/>
    </row>
    <row r="168" spans="1:7" x14ac:dyDescent="0.25">
      <c r="A168" s="9"/>
      <c r="B168" s="9"/>
      <c r="C168" s="9"/>
      <c r="D168" s="9"/>
      <c r="E168" s="9"/>
      <c r="F168" s="45"/>
      <c r="G168" s="9"/>
    </row>
    <row r="169" spans="1:7" x14ac:dyDescent="0.25">
      <c r="A169" s="9"/>
      <c r="B169" s="9"/>
      <c r="C169" s="9"/>
      <c r="D169" s="9"/>
      <c r="E169" s="9"/>
      <c r="F169" s="45"/>
      <c r="G169" s="9"/>
    </row>
    <row r="170" spans="1:7" x14ac:dyDescent="0.25">
      <c r="A170" s="9"/>
      <c r="B170" s="9"/>
      <c r="C170" s="9"/>
      <c r="D170" s="9"/>
      <c r="E170" s="9"/>
      <c r="F170" s="45"/>
      <c r="G170" s="9"/>
    </row>
    <row r="171" spans="1:7" x14ac:dyDescent="0.25">
      <c r="A171" s="9"/>
      <c r="B171" s="9"/>
      <c r="C171" s="9"/>
      <c r="D171" s="9"/>
      <c r="E171" s="9"/>
      <c r="F171" s="45"/>
      <c r="G171" s="9"/>
    </row>
    <row r="172" spans="1:7" x14ac:dyDescent="0.25">
      <c r="A172" s="9"/>
      <c r="B172" s="9"/>
      <c r="C172" s="9"/>
      <c r="D172" s="9"/>
      <c r="E172" s="9"/>
      <c r="F172" s="45"/>
      <c r="G172" s="9"/>
    </row>
    <row r="173" spans="1:7" x14ac:dyDescent="0.25">
      <c r="A173" s="9"/>
      <c r="B173" s="9"/>
      <c r="C173" s="9"/>
      <c r="D173" s="9"/>
      <c r="E173" s="9"/>
      <c r="F173" s="45"/>
      <c r="G173" s="9"/>
    </row>
    <row r="174" spans="1:7" x14ac:dyDescent="0.25">
      <c r="A174" s="9"/>
      <c r="B174" s="9"/>
      <c r="C174" s="9"/>
      <c r="D174" s="9"/>
      <c r="E174" s="9"/>
      <c r="F174" s="45"/>
      <c r="G174" s="9"/>
    </row>
    <row r="175" spans="1:7" x14ac:dyDescent="0.25">
      <c r="A175" s="9"/>
      <c r="B175" s="9"/>
      <c r="C175" s="9"/>
      <c r="D175" s="9"/>
      <c r="E175" s="9"/>
      <c r="F175" s="45"/>
      <c r="G175" s="9"/>
    </row>
    <row r="176" spans="1:7" x14ac:dyDescent="0.25">
      <c r="A176" s="9"/>
      <c r="B176" s="9"/>
      <c r="C176" s="9"/>
      <c r="D176" s="9"/>
      <c r="E176" s="9"/>
      <c r="F176" s="45"/>
      <c r="G176" s="9"/>
    </row>
    <row r="177" spans="1:7" x14ac:dyDescent="0.25">
      <c r="A177" s="9"/>
      <c r="B177" s="9"/>
      <c r="C177" s="9"/>
      <c r="D177" s="9"/>
      <c r="E177" s="9"/>
      <c r="F177" s="45"/>
      <c r="G177" s="9"/>
    </row>
    <row r="178" spans="1:7" x14ac:dyDescent="0.25">
      <c r="A178" s="9"/>
      <c r="B178" s="9"/>
      <c r="C178" s="9"/>
      <c r="D178" s="9"/>
      <c r="E178" s="9"/>
      <c r="F178" s="45"/>
      <c r="G178" s="9"/>
    </row>
    <row r="179" spans="1:7" x14ac:dyDescent="0.25">
      <c r="A179" s="9"/>
      <c r="B179" s="9"/>
      <c r="C179" s="9"/>
      <c r="D179" s="9"/>
      <c r="E179" s="9"/>
      <c r="F179" s="45"/>
      <c r="G179" s="9"/>
    </row>
    <row r="180" spans="1:7" x14ac:dyDescent="0.25">
      <c r="A180" s="9"/>
      <c r="B180" s="9"/>
      <c r="C180" s="9"/>
      <c r="D180" s="9"/>
      <c r="E180" s="9"/>
      <c r="F180" s="45"/>
      <c r="G180" s="9"/>
    </row>
    <row r="181" spans="1:7" x14ac:dyDescent="0.25">
      <c r="A181" s="9"/>
      <c r="B181" s="9"/>
      <c r="C181" s="9"/>
      <c r="D181" s="9"/>
      <c r="E181" s="9"/>
      <c r="F181" s="45"/>
      <c r="G181" s="9"/>
    </row>
    <row r="182" spans="1:7" x14ac:dyDescent="0.25">
      <c r="A182" s="9"/>
      <c r="B182" s="9"/>
      <c r="C182" s="9"/>
      <c r="D182" s="9"/>
      <c r="E182" s="9"/>
      <c r="F182" s="45"/>
      <c r="G182" s="9"/>
    </row>
    <row r="183" spans="1:7" x14ac:dyDescent="0.25">
      <c r="A183" s="9"/>
      <c r="B183" s="9"/>
      <c r="C183" s="9"/>
      <c r="D183" s="9"/>
      <c r="E183" s="9"/>
      <c r="F183" s="45"/>
      <c r="G183" s="9"/>
    </row>
    <row r="184" spans="1:7" x14ac:dyDescent="0.25">
      <c r="A184" s="9"/>
      <c r="B184" s="9"/>
      <c r="C184" s="9"/>
      <c r="D184" s="9"/>
      <c r="E184" s="9"/>
      <c r="F184" s="45"/>
      <c r="G184" s="9"/>
    </row>
    <row r="185" spans="1:7" x14ac:dyDescent="0.25">
      <c r="A185" s="9"/>
      <c r="B185" s="9"/>
      <c r="C185" s="9"/>
      <c r="D185" s="9"/>
      <c r="E185" s="9"/>
      <c r="F185" s="45"/>
      <c r="G185" s="9"/>
    </row>
    <row r="186" spans="1:7" x14ac:dyDescent="0.25">
      <c r="A186" s="9"/>
      <c r="B186" s="9"/>
      <c r="C186" s="9"/>
      <c r="D186" s="9"/>
      <c r="E186" s="9"/>
      <c r="F186" s="45"/>
      <c r="G186" s="9"/>
    </row>
    <row r="187" spans="1:7" x14ac:dyDescent="0.25">
      <c r="A187" s="9"/>
      <c r="B187" s="9"/>
      <c r="C187" s="9"/>
      <c r="D187" s="9"/>
      <c r="E187" s="9"/>
      <c r="F187" s="45"/>
      <c r="G187" s="9"/>
    </row>
    <row r="188" spans="1:7" x14ac:dyDescent="0.25">
      <c r="A188" s="9"/>
      <c r="B188" s="9"/>
      <c r="C188" s="9"/>
      <c r="D188" s="9"/>
      <c r="E188" s="9"/>
      <c r="F188" s="45"/>
      <c r="G188" s="9"/>
    </row>
    <row r="189" spans="1:7" x14ac:dyDescent="0.25">
      <c r="A189" s="9"/>
      <c r="B189" s="9"/>
      <c r="C189" s="9"/>
      <c r="D189" s="9"/>
      <c r="E189" s="9"/>
      <c r="F189" s="45"/>
      <c r="G189" s="9"/>
    </row>
    <row r="190" spans="1:7" x14ac:dyDescent="0.25">
      <c r="A190" s="9"/>
      <c r="B190" s="9"/>
      <c r="C190" s="9"/>
      <c r="D190" s="9"/>
      <c r="E190" s="9"/>
      <c r="F190" s="45"/>
      <c r="G190" s="9"/>
    </row>
    <row r="191" spans="1:7" x14ac:dyDescent="0.25">
      <c r="A191" s="9"/>
      <c r="B191" s="9"/>
      <c r="C191" s="9"/>
      <c r="D191" s="9"/>
      <c r="E191" s="9"/>
      <c r="F191" s="45"/>
      <c r="G191" s="9"/>
    </row>
    <row r="192" spans="1:7" x14ac:dyDescent="0.25">
      <c r="A192" s="9"/>
      <c r="B192" s="9"/>
      <c r="C192" s="9"/>
      <c r="D192" s="9"/>
      <c r="E192" s="9"/>
      <c r="F192" s="45"/>
      <c r="G192" s="9"/>
    </row>
    <row r="193" spans="1:7" x14ac:dyDescent="0.25">
      <c r="A193" s="9"/>
      <c r="B193" s="9"/>
      <c r="C193" s="9"/>
      <c r="D193" s="9"/>
      <c r="E193" s="9"/>
      <c r="F193" s="45"/>
      <c r="G193" s="9"/>
    </row>
    <row r="194" spans="1:7" x14ac:dyDescent="0.25">
      <c r="A194" s="9"/>
      <c r="B194" s="9"/>
      <c r="C194" s="9"/>
      <c r="D194" s="9"/>
      <c r="E194" s="9"/>
      <c r="F194" s="45"/>
      <c r="G194" s="9"/>
    </row>
    <row r="195" spans="1:7" x14ac:dyDescent="0.25">
      <c r="A195" s="9"/>
      <c r="B195" s="9"/>
      <c r="C195" s="9"/>
      <c r="D195" s="9"/>
      <c r="E195" s="9"/>
      <c r="F195" s="45"/>
      <c r="G195" s="9"/>
    </row>
    <row r="196" spans="1:7" x14ac:dyDescent="0.25">
      <c r="A196" s="9"/>
      <c r="B196" s="9"/>
      <c r="C196" s="9"/>
      <c r="D196" s="9"/>
      <c r="E196" s="9"/>
      <c r="F196" s="45"/>
      <c r="G196" s="9"/>
    </row>
    <row r="197" spans="1:7" x14ac:dyDescent="0.25">
      <c r="A197" s="9"/>
      <c r="B197" s="9"/>
      <c r="C197" s="9"/>
      <c r="D197" s="9"/>
      <c r="E197" s="9"/>
      <c r="F197" s="45"/>
      <c r="G197" s="9"/>
    </row>
    <row r="198" spans="1:7" x14ac:dyDescent="0.25">
      <c r="A198" s="9"/>
      <c r="B198" s="9"/>
      <c r="C198" s="9"/>
      <c r="D198" s="9"/>
      <c r="E198" s="9"/>
      <c r="F198" s="45"/>
      <c r="G198" s="9"/>
    </row>
    <row r="199" spans="1:7" x14ac:dyDescent="0.25">
      <c r="A199" s="9"/>
      <c r="B199" s="9"/>
      <c r="C199" s="9"/>
      <c r="D199" s="9"/>
      <c r="E199" s="9"/>
      <c r="F199" s="45"/>
      <c r="G199" s="9"/>
    </row>
    <row r="200" spans="1:7" x14ac:dyDescent="0.25">
      <c r="A200" s="9"/>
      <c r="B200" s="9"/>
      <c r="C200" s="9"/>
      <c r="D200" s="9"/>
      <c r="E200" s="9"/>
      <c r="F200" s="45"/>
      <c r="G200" s="9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F5AAC-99C0-453B-8500-0342949C2927}">
  <dimension ref="A1:B5"/>
  <sheetViews>
    <sheetView workbookViewId="0">
      <pane ySplit="1" topLeftCell="A2" activePane="bottomLeft" state="frozen"/>
      <selection pane="bottomLeft" activeCell="M7" sqref="M7"/>
    </sheetView>
  </sheetViews>
  <sheetFormatPr defaultRowHeight="15" x14ac:dyDescent="0.25"/>
  <cols>
    <col min="1" max="1" width="11.28515625" customWidth="1"/>
  </cols>
  <sheetData>
    <row r="1" spans="1:2" x14ac:dyDescent="0.25">
      <c r="A1" t="s">
        <v>21</v>
      </c>
      <c r="B1" t="s">
        <v>29</v>
      </c>
    </row>
    <row r="2" spans="1:2" x14ac:dyDescent="0.25">
      <c r="A2" t="s">
        <v>22</v>
      </c>
      <c r="B2">
        <f>Expenses!G3</f>
        <v>200</v>
      </c>
    </row>
    <row r="3" spans="1:2" x14ac:dyDescent="0.25">
      <c r="A3" t="s">
        <v>24</v>
      </c>
      <c r="B3">
        <f>Expenses!G9</f>
        <v>150</v>
      </c>
    </row>
    <row r="4" spans="1:2" x14ac:dyDescent="0.25">
      <c r="A4" t="s">
        <v>27</v>
      </c>
      <c r="B4">
        <f>Expenses!G10</f>
        <v>350</v>
      </c>
    </row>
    <row r="5" spans="1:2" x14ac:dyDescent="0.25">
      <c r="A5" t="s">
        <v>29</v>
      </c>
      <c r="B5">
        <f>Expenses!G11</f>
        <v>700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8841F-CC99-4CE1-B1C6-C018D8083735}">
  <dimension ref="B2:C3"/>
  <sheetViews>
    <sheetView workbookViewId="0">
      <selection activeCell="C4" sqref="C4"/>
    </sheetView>
  </sheetViews>
  <sheetFormatPr defaultRowHeight="15" x14ac:dyDescent="0.25"/>
  <sheetData>
    <row r="2" spans="2:3" x14ac:dyDescent="0.25">
      <c r="B2" t="s">
        <v>48</v>
      </c>
      <c r="C2" t="s">
        <v>234</v>
      </c>
    </row>
    <row r="3" spans="2:3" x14ac:dyDescent="0.25">
      <c r="B3" t="s">
        <v>50</v>
      </c>
      <c r="C3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Patients</vt:lpstr>
      <vt:lpstr>Visits</vt:lpstr>
      <vt:lpstr>Expenses</vt:lpstr>
      <vt:lpstr>Patient_File</vt:lpstr>
      <vt:lpstr>Patient_Report</vt:lpstr>
      <vt:lpstr>Dashboard</vt:lpstr>
      <vt:lpstr>Sheet7</vt:lpstr>
      <vt:lpstr>PatientNames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HonestFan</dc:creator>
  <cp:lastModifiedBy>agapecalender@gmail.com</cp:lastModifiedBy>
  <cp:lastPrinted>2026-02-27T11:03:19Z</cp:lastPrinted>
  <dcterms:created xsi:type="dcterms:W3CDTF">2026-02-25T16:44:40Z</dcterms:created>
  <dcterms:modified xsi:type="dcterms:W3CDTF">2026-02-27T11:04:52Z</dcterms:modified>
</cp:coreProperties>
</file>